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25051\Desktop\Meta_Suicide\"/>
    </mc:Choice>
  </mc:AlternateContent>
  <xr:revisionPtr revIDLastSave="0" documentId="13_ncr:1_{CABC41FD-FE8F-4E3B-8B16-0EA16C987E78}" xr6:coauthVersionLast="47" xr6:coauthVersionMax="47" xr10:uidLastSave="{00000000-0000-0000-0000-000000000000}"/>
  <bookViews>
    <workbookView xWindow="14730" yWindow="0" windowWidth="13980" windowHeight="14910" xr2:uid="{00000000-000D-0000-FFFF-FFFF00000000}"/>
  </bookViews>
  <sheets>
    <sheet name="All papers" sheetId="1" r:id="rId1"/>
    <sheet name="Pan Z 2024" sheetId="2" r:id="rId2"/>
    <sheet name="Olfson M 2021" sheetId="3" r:id="rId3"/>
    <sheet name="Chan SKW 2018" sheetId="9" r:id="rId4"/>
    <sheet name="Buchanan A 2020" sheetId="6" r:id="rId5"/>
    <sheet name="Coentre R 2021" sheetId="5" r:id="rId6"/>
    <sheet name="Bakst S 2009" sheetId="8" r:id="rId7"/>
    <sheet name="Taipale H 2021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2" i="10"/>
  <c r="D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tc={A7632739-E03D-4BA4-BE67-FC5A4A0B76AF}</author>
  </authors>
  <commentList>
    <comment ref="B2" authorId="0" shapeId="0" xr:uid="{A7632739-E03D-4BA4-BE67-FC5A4A0B76AF}">
      <text>
        <t>[线程批注]
你的Excel版本可读取此线程批注; 但如果在更新版本的Excel中打开文件，则对批注所作的任何改动都将被删除。了解详细信息: https://go.microsoft.com/fwlink/?linkid=870924
注释:
    Stratification issue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tc={FD50CA64-62EC-41C0-9E2A-EBFE932F46FC}</author>
  </authors>
  <commentList>
    <comment ref="B19" authorId="0" shapeId="0" xr:uid="{FD50CA64-62EC-41C0-9E2A-EBFE932F46FC}">
      <text>
        <t>[线程批注]
你的Excel版本可读取此线程批注; 但如果在更新版本的Excel中打开文件，则对批注所作的任何改动都将被删除。了解详细信息: https://go.microsoft.com/fwlink/?linkid=870924
注释:
    Is this psychological risk factors or hospitalization/teatment?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tc={D5D7CEBB-AF86-4DBB-8920-57AAE4EDA767}</author>
    <author>tc={E4D1AB9A-4706-4D3C-9A4E-DF9E44C8614E}</author>
  </authors>
  <commentList>
    <comment ref="B36" authorId="0" shapeId="0" xr:uid="{D5D7CEBB-AF86-4DBB-8920-57AAE4EDA767}">
      <text>
        <t>[线程批注]
你的Excel版本可读取此线程批注; 但如果在更新版本的Excel中打开文件，则对批注所作的任何改动都将被删除。了解详细信息: https://go.microsoft.com/fwlink/?linkid=870924
注释:
    Is this psychological risk factors or hospitalization/teatment?</t>
      </text>
    </comment>
    <comment ref="B37" authorId="1" shapeId="0" xr:uid="{E4D1AB9A-4706-4D3C-9A4E-DF9E44C8614E}">
      <text>
        <t>[线程批注]
你的Excel版本可读取此线程批注; 但如果在更新版本的Excel中打开文件，则对批注所作的任何改动都将被删除。了解详细信息: https://go.microsoft.com/fwlink/?linkid=870924
注释:
    Is this psychological risk factors or hospitalization/teatment?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tc={DCB0FC7E-7E8B-4C6D-8902-1031F9DC0E8F}</author>
  </authors>
  <commentList>
    <comment ref="B48" authorId="0" shapeId="0" xr:uid="{DCB0FC7E-7E8B-4C6D-8902-1031F9DC0E8F}">
      <text>
        <t>[线程批注]
你的Excel版本可读取此线程批注; 但如果在更新版本的Excel中打开文件，则对批注所作的任何改动都将被删除。了解详细信息: https://go.microsoft.com/fwlink/?linkid=870924
注释:
    Is adherence psychological risk factors or hospitalization/teatment?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tc={6FB76547-1409-418E-A258-4A68CD2038B9}</author>
    <author>tc={6EE133B5-509C-41A8-85AE-D31A6FDEC21F}</author>
  </authors>
  <commentList>
    <comment ref="B16" authorId="0" shapeId="0" xr:uid="{6FB76547-1409-418E-A258-4A68CD2038B9}">
      <text>
        <t>[线程批注]
你的Excel版本可读取此线程批注; 但如果在更新版本的Excel中打开文件，则对批注所作的任何改动都将被删除。了解详细信息: https://go.microsoft.com/fwlink/?linkid=870924
注释:
    Just realized that this article is about First-Admission Psychosis, not exactly schizophrenia</t>
      </text>
    </comment>
    <comment ref="B28" authorId="1" shapeId="0" xr:uid="{6EE133B5-509C-41A8-85AE-D31A6FDEC21F}">
      <text>
        <t>[线程批注]
你的Excel版本可读取此线程批注; 但如果在更新版本的Excel中打开文件，则对批注所作的任何改动都将被删除。了解详细信息: https://go.microsoft.com/fwlink/?linkid=870924
注释:
    Is this psychological risk factors?</t>
      </text>
    </comment>
  </commentList>
</comments>
</file>

<file path=xl/sharedStrings.xml><?xml version="1.0" encoding="utf-8"?>
<sst xmlns="http://schemas.openxmlformats.org/spreadsheetml/2006/main" count="3773" uniqueCount="1204">
  <si>
    <t>95% CI</t>
    <phoneticPr fontId="2" type="noConversion"/>
  </si>
  <si>
    <t>SE(calculated)</t>
    <phoneticPr fontId="2" type="noConversion"/>
  </si>
  <si>
    <t>p</t>
    <phoneticPr fontId="2" type="noConversion"/>
  </si>
  <si>
    <t>Topic/Subgroup</t>
    <phoneticPr fontId="2" type="noConversion"/>
  </si>
  <si>
    <t>Paper</t>
    <phoneticPr fontId="2" type="noConversion"/>
  </si>
  <si>
    <t>Outcome Type</t>
    <phoneticPr fontId="2" type="noConversion"/>
  </si>
  <si>
    <t>Male</t>
    <phoneticPr fontId="2" type="noConversion"/>
  </si>
  <si>
    <t>Haukka J 2008</t>
    <phoneticPr fontId="2" type="noConversion"/>
  </si>
  <si>
    <t>No</t>
    <phoneticPr fontId="2" type="noConversion"/>
  </si>
  <si>
    <t>Full Text Avalibility</t>
    <phoneticPr fontId="2" type="noConversion"/>
  </si>
  <si>
    <t>current use of antidepressants</t>
    <phoneticPr fontId="2" type="noConversion"/>
  </si>
  <si>
    <t>current use of antipsychotics</t>
    <phoneticPr fontId="2" type="noConversion"/>
  </si>
  <si>
    <t>HR</t>
    <phoneticPr fontId="2" type="noConversion"/>
  </si>
  <si>
    <t>OR</t>
    <phoneticPr fontId="2" type="noConversion"/>
  </si>
  <si>
    <t>0.34–0.81</t>
  </si>
  <si>
    <t>0.41–1.08</t>
  </si>
  <si>
    <t>Yes</t>
    <phoneticPr fontId="2" type="noConversion"/>
  </si>
  <si>
    <t>Taipale H 2020</t>
    <phoneticPr fontId="2" type="noConversion"/>
  </si>
  <si>
    <t>Oral Clozapine</t>
  </si>
  <si>
    <t>LAI Olanzapine</t>
  </si>
  <si>
    <t>Polytherapy</t>
  </si>
  <si>
    <t>Oral Perphenazine</t>
  </si>
  <si>
    <t>LAI Risperidone</t>
  </si>
  <si>
    <t>Oral Haloperidol</t>
  </si>
  <si>
    <t>LAI Zuclopenthixol</t>
  </si>
  <si>
    <t>LAI Fluphenazine</t>
  </si>
  <si>
    <t>Oral Zuclopenthixol</t>
  </si>
  <si>
    <t>LAI Flupentixol</t>
  </si>
  <si>
    <t>Oral Olanzapine</t>
  </si>
  <si>
    <t>Oral Risperidone</t>
  </si>
  <si>
    <t>LAI Perphenazine</t>
  </si>
  <si>
    <t xml:space="preserve"> Oral Aripiprazole</t>
  </si>
  <si>
    <t>Oral Chlorprothixene</t>
  </si>
  <si>
    <t>Oral Quetiapine</t>
  </si>
  <si>
    <t>Other orals</t>
  </si>
  <si>
    <t>Oral Levomepromazine</t>
  </si>
  <si>
    <t>LAI Haloperidol</t>
  </si>
  <si>
    <t>Treatment of Oral Flupentixol</t>
    <phoneticPr fontId="2" type="noConversion"/>
  </si>
  <si>
    <t>0.03–1.48</t>
  </si>
  <si>
    <t>0.15–0.29</t>
  </si>
  <si>
    <t>0.05–2.48</t>
  </si>
  <si>
    <t>0.33–0.51</t>
  </si>
  <si>
    <t>0.28–0.66</t>
  </si>
  <si>
    <t>0.24–0.83</t>
  </si>
  <si>
    <t>0.22–0.87</t>
  </si>
  <si>
    <t>0.28–0.76</t>
  </si>
  <si>
    <t>0.13–2.16</t>
  </si>
  <si>
    <t>0.23–1.20</t>
  </si>
  <si>
    <t>0.13–2.17</t>
  </si>
  <si>
    <t>0.43–0.71</t>
  </si>
  <si>
    <t>0.47–0.86</t>
  </si>
  <si>
    <t>0.43–1.10</t>
  </si>
  <si>
    <t>0.38–1.44</t>
  </si>
  <si>
    <t>0.53–1.18</t>
  </si>
  <si>
    <t>0.59–1.12</t>
  </si>
  <si>
    <t>0.56–1.17</t>
  </si>
  <si>
    <t>0.52–1.26</t>
  </si>
  <si>
    <t>0.53–1.53</t>
  </si>
  <si>
    <t>Li SX 2016</t>
    <phoneticPr fontId="2" type="noConversion"/>
  </si>
  <si>
    <t>schizophrenia w/ vs w/o frequent insomnia calculated</t>
    <phoneticPr fontId="2" type="noConversion"/>
  </si>
  <si>
    <t>schizophrenia w/ vs w/o frequent nightmare calculated</t>
    <phoneticPr fontId="2" type="noConversion"/>
  </si>
  <si>
    <t>OR/HR provided?</t>
    <phoneticPr fontId="2" type="noConversion"/>
  </si>
  <si>
    <t>p-value provided?</t>
    <phoneticPr fontId="2" type="noConversion"/>
  </si>
  <si>
    <t>1.4-15.36</t>
    <phoneticPr fontId="2" type="noConversion"/>
  </si>
  <si>
    <t>&lt;0.01</t>
  </si>
  <si>
    <t>&lt;0.01</t>
    <phoneticPr fontId="2" type="noConversion"/>
  </si>
  <si>
    <t>&lt;0.001</t>
  </si>
  <si>
    <t>&lt;0.001</t>
    <phoneticPr fontId="2" type="noConversion"/>
  </si>
  <si>
    <t>Toll A 2023</t>
    <phoneticPr fontId="2" type="noConversion"/>
  </si>
  <si>
    <t>doi</t>
    <phoneticPr fontId="2" type="noConversion"/>
  </si>
  <si>
    <t>10.1002/pds.1579</t>
    <phoneticPr fontId="2" type="noConversion"/>
  </si>
  <si>
    <t>10.1002/wps.20699</t>
    <phoneticPr fontId="2" type="noConversion"/>
  </si>
  <si>
    <t>10.5665/sleep.5852</t>
    <phoneticPr fontId="2" type="noConversion"/>
  </si>
  <si>
    <t>10.1016/j.psychres.2023.115232</t>
    <phoneticPr fontId="2" type="noConversion"/>
  </si>
  <si>
    <t>pateint with first-episode psychosis: step-wise logistic regression using total scale scores</t>
    <phoneticPr fontId="2" type="noConversion"/>
  </si>
  <si>
    <t>1.63-21.47</t>
    <phoneticPr fontId="2" type="noConversion"/>
  </si>
  <si>
    <t>GAF score: using total scale scores</t>
    <phoneticPr fontId="2" type="noConversion"/>
  </si>
  <si>
    <t>CDSS total score</t>
    <phoneticPr fontId="2" type="noConversion"/>
  </si>
  <si>
    <t>1.01-1.21</t>
    <phoneticPr fontId="2" type="noConversion"/>
  </si>
  <si>
    <t>step-wise logistic regression using scores on the scale subitems</t>
    <phoneticPr fontId="2" type="noConversion"/>
  </si>
  <si>
    <t>GAF score: using scores on the scale subitems</t>
    <phoneticPr fontId="2" type="noConversion"/>
  </si>
  <si>
    <t>PG3. Guilt feelings</t>
    <phoneticPr fontId="2" type="noConversion"/>
  </si>
  <si>
    <t>0.14-0.49</t>
    <phoneticPr fontId="2" type="noConversion"/>
  </si>
  <si>
    <t>0.01-0.08</t>
    <phoneticPr fontId="2" type="noConversion"/>
  </si>
  <si>
    <t>Pan Z 2024</t>
    <phoneticPr fontId="2" type="noConversion"/>
  </si>
  <si>
    <t>10.1186/s12888-024-06089-0</t>
    <phoneticPr fontId="2" type="noConversion"/>
  </si>
  <si>
    <t>SD</t>
    <phoneticPr fontId="2" type="noConversion"/>
  </si>
  <si>
    <t>SA</t>
    <phoneticPr fontId="2" type="noConversion"/>
  </si>
  <si>
    <t>OR/HR/else</t>
    <phoneticPr fontId="2" type="noConversion"/>
  </si>
  <si>
    <t>CI provided?</t>
    <phoneticPr fontId="2" type="noConversion"/>
  </si>
  <si>
    <t>Age 35-54, all-gender (age&lt;=34 as ref)</t>
    <phoneticPr fontId="2" type="noConversion"/>
  </si>
  <si>
    <t>Age 35-54, male</t>
    <phoneticPr fontId="2" type="noConversion"/>
  </si>
  <si>
    <t>Age 35-54, female</t>
    <phoneticPr fontId="2" type="noConversion"/>
  </si>
  <si>
    <t>0.17–0.58</t>
  </si>
  <si>
    <t>0.20–1.61</t>
  </si>
  <si>
    <t>0.08–0.41</t>
  </si>
  <si>
    <t>Age &gt;=55, all-gender (age&lt;=34 as ref)</t>
    <phoneticPr fontId="2" type="noConversion"/>
  </si>
  <si>
    <t>Age &gt;=55, female</t>
    <phoneticPr fontId="2" type="noConversion"/>
  </si>
  <si>
    <t>Age &gt;=55, male</t>
    <phoneticPr fontId="2" type="noConversion"/>
  </si>
  <si>
    <t>0.03–0.14</t>
  </si>
  <si>
    <t>0.97–1.97</t>
  </si>
  <si>
    <t>Ed level middle school, all-gender (high school and above as ref)</t>
    <phoneticPr fontId="2" type="noConversion"/>
  </si>
  <si>
    <t>Ed level primary school and below, all-gender (high school and above as ref)</t>
    <phoneticPr fontId="2" type="noConversion"/>
  </si>
  <si>
    <t>Ed level primary school and below, female</t>
    <phoneticPr fontId="2" type="noConversion"/>
  </si>
  <si>
    <t>Ed level primary school and below, male</t>
    <phoneticPr fontId="2" type="noConversion"/>
  </si>
  <si>
    <t>Ed level middle school, female</t>
    <phoneticPr fontId="2" type="noConversion"/>
  </si>
  <si>
    <t>Ed level middle school, male</t>
    <phoneticPr fontId="2" type="noConversion"/>
  </si>
  <si>
    <t>0.38–1.02</t>
  </si>
  <si>
    <t>0.32–1.39</t>
  </si>
  <si>
    <t>0.31–1.18</t>
  </si>
  <si>
    <t>0.83–1.97</t>
  </si>
  <si>
    <t>0.47–1.93</t>
  </si>
  <si>
    <t>0.95–2.83</t>
  </si>
  <si>
    <t>0.04–0.50</t>
  </si>
  <si>
    <t>0.01–0.10</t>
  </si>
  <si>
    <t>0.89–1.69</t>
  </si>
  <si>
    <t>0.88–2.26</t>
  </si>
  <si>
    <t>0.69–1.64</t>
  </si>
  <si>
    <t>3.62–9.09</t>
  </si>
  <si>
    <t>1.54–5.43</t>
  </si>
  <si>
    <t>5.54–18.81</t>
  </si>
  <si>
    <t>1.47–3.39</t>
  </si>
  <si>
    <t>1.12–3.94</t>
  </si>
  <si>
    <t>1.30–3.97</t>
  </si>
  <si>
    <t>0.71–2.68</t>
  </si>
  <si>
    <t>1.05–5.48</t>
  </si>
  <si>
    <t>0.23–2.37</t>
  </si>
  <si>
    <t>0.34–0.76</t>
  </si>
  <si>
    <t>0.39–1.36</t>
  </si>
  <si>
    <t>0.23–0.68</t>
  </si>
  <si>
    <t>0.09–0.35</t>
  </si>
  <si>
    <t>0.07–0.62</t>
  </si>
  <si>
    <t>0.07–0.41</t>
  </si>
  <si>
    <t>0.45–1.08</t>
  </si>
  <si>
    <t>0.39–1.44</t>
  </si>
  <si>
    <t>0.37–1.25</t>
  </si>
  <si>
    <t>0.16–1.56</t>
  </si>
  <si>
    <t>0.05–2.78</t>
  </si>
  <si>
    <t>0.16–2.78</t>
  </si>
  <si>
    <t>0.96–3.33</t>
  </si>
  <si>
    <t>0.76–5.11</t>
  </si>
  <si>
    <t>0.72–3.65</t>
  </si>
  <si>
    <t>0.70–1.50</t>
  </si>
  <si>
    <t>0.60–2.14</t>
  </si>
  <si>
    <t>0.59–1.57</t>
  </si>
  <si>
    <t>0.94–2.39</t>
  </si>
  <si>
    <t>1.52–5.77</t>
  </si>
  <si>
    <t>0.33–5.74</t>
  </si>
  <si>
    <t>0.49–1.14</t>
  </si>
  <si>
    <t>0.54–1.93</t>
  </si>
  <si>
    <t>0.30–0.99</t>
  </si>
  <si>
    <t>0.55–1.48</t>
  </si>
  <si>
    <t>0.33–1.35</t>
  </si>
  <si>
    <t>0.59–2.39</t>
  </si>
  <si>
    <t>0.39–1.29</t>
  </si>
  <si>
    <t>0.19–1.67</t>
  </si>
  <si>
    <t>0.44–1.82</t>
  </si>
  <si>
    <t>0.19–0.80</t>
  </si>
  <si>
    <t>0.11–1.21</t>
  </si>
  <si>
    <t>0.16–1.00</t>
  </si>
  <si>
    <t>0.99–5.63</t>
  </si>
  <si>
    <t>1.30–11.77</t>
  </si>
  <si>
    <t>&lt;0.05</t>
  </si>
  <si>
    <t>Male vs female (female as ref)</t>
    <phoneticPr fontId="2" type="noConversion"/>
  </si>
  <si>
    <t>Employed, female</t>
    <phoneticPr fontId="2" type="noConversion"/>
  </si>
  <si>
    <t>Employed, male</t>
    <phoneticPr fontId="2" type="noConversion"/>
  </si>
  <si>
    <t>Employed, all-gender (unemployed as ref)</t>
    <phoneticPr fontId="2" type="noConversion"/>
  </si>
  <si>
    <t>Married, female</t>
    <phoneticPr fontId="2" type="noConversion"/>
  </si>
  <si>
    <t>Married, male</t>
    <phoneticPr fontId="2" type="noConversion"/>
  </si>
  <si>
    <t>Married, all-gender (single as ref)</t>
    <phoneticPr fontId="2" type="noConversion"/>
  </si>
  <si>
    <t>Rural residents, female</t>
    <phoneticPr fontId="2" type="noConversion"/>
  </si>
  <si>
    <t>Rural residents, male</t>
    <phoneticPr fontId="2" type="noConversion"/>
  </si>
  <si>
    <t>Rural residents, all-gender (urban as ref)</t>
    <phoneticPr fontId="2" type="noConversion"/>
  </si>
  <si>
    <t>No medical insurance, female</t>
    <phoneticPr fontId="2" type="noConversion"/>
  </si>
  <si>
    <t>No medical insurance, male</t>
    <phoneticPr fontId="2" type="noConversion"/>
  </si>
  <si>
    <t>No medical insurance, all-gender (covered as ref)</t>
    <phoneticPr fontId="2" type="noConversion"/>
  </si>
  <si>
    <t>Hospitalization once, all-gender (none as ref)</t>
    <phoneticPr fontId="2" type="noConversion"/>
  </si>
  <si>
    <t>Hospitalization once, female</t>
    <phoneticPr fontId="2" type="noConversion"/>
  </si>
  <si>
    <t>Hospitalization once, male</t>
    <phoneticPr fontId="2" type="noConversion"/>
  </si>
  <si>
    <t>Hospitalization more than once, all-gender (none as ref)</t>
    <phoneticPr fontId="2" type="noConversion"/>
  </si>
  <si>
    <t>Hospitalization more than once, female</t>
    <phoneticPr fontId="2" type="noConversion"/>
  </si>
  <si>
    <t>Hospitalization more than once, male</t>
    <phoneticPr fontId="2" type="noConversion"/>
  </si>
  <si>
    <t>Duration of disease &gt;11.5 years, all-gender (&lt;=11.5 years as ref)</t>
    <phoneticPr fontId="2" type="noConversion"/>
  </si>
  <si>
    <t>Duration of disease &gt;11.5 years, female</t>
    <phoneticPr fontId="2" type="noConversion"/>
  </si>
  <si>
    <t>Duration of disease &gt;11.5 years, male</t>
    <phoneticPr fontId="2" type="noConversion"/>
  </si>
  <si>
    <t>Family history of mental illness, female</t>
    <phoneticPr fontId="2" type="noConversion"/>
  </si>
  <si>
    <t>Family history of mental illness, male</t>
    <phoneticPr fontId="2" type="noConversion"/>
  </si>
  <si>
    <t>Unstable disease stability in the last follow-up period, all-gender (stable as ref)</t>
    <phoneticPr fontId="2" type="noConversion"/>
  </si>
  <si>
    <t>Family history of mental illness, all-gender (no family history as ref)</t>
    <phoneticPr fontId="2" type="noConversion"/>
  </si>
  <si>
    <t>Unstable disease stability in the last follow-up period, female</t>
    <phoneticPr fontId="2" type="noConversion"/>
  </si>
  <si>
    <t>Unstable disease stability in the last follow-up period, male</t>
    <phoneticPr fontId="2" type="noConversion"/>
  </si>
  <si>
    <t>Non-continuous treatment, all-gender (continuous treatment as ref)</t>
    <phoneticPr fontId="2" type="noConversion"/>
  </si>
  <si>
    <t>Non-continuous treatment, female</t>
    <phoneticPr fontId="2" type="noConversion"/>
  </si>
  <si>
    <t>Non-continuous treatment, male</t>
    <phoneticPr fontId="2" type="noConversion"/>
  </si>
  <si>
    <t>Non-treatment, all-gender (continuous treatment as ref)</t>
    <phoneticPr fontId="2" type="noConversion"/>
  </si>
  <si>
    <t>Non-treatment, female</t>
    <phoneticPr fontId="2" type="noConversion"/>
  </si>
  <si>
    <t>Non-treatment, male</t>
    <phoneticPr fontId="2" type="noConversion"/>
  </si>
  <si>
    <t>Age of onset &gt;28, all-gender (&lt;=28 as ref)</t>
    <phoneticPr fontId="2" type="noConversion"/>
  </si>
  <si>
    <t>Age of onset &gt;28, female</t>
    <phoneticPr fontId="2" type="noConversion"/>
  </si>
  <si>
    <t>Age of onset &gt;28, male</t>
    <phoneticPr fontId="2" type="noConversion"/>
  </si>
  <si>
    <t>Age of diagnosis &gt;34, all-gender (&lt;=34 as ref)</t>
    <phoneticPr fontId="2" type="noConversion"/>
  </si>
  <si>
    <t>Age of diagnosis &gt;34, female</t>
    <phoneticPr fontId="2" type="noConversion"/>
  </si>
  <si>
    <t>Age of diagnosis &gt;34, male</t>
    <phoneticPr fontId="2" type="noConversion"/>
  </si>
  <si>
    <t>Poverty, all-gender (non-poverty as ref)</t>
    <phoneticPr fontId="2" type="noConversion"/>
  </si>
  <si>
    <t>Poverty, female</t>
    <phoneticPr fontId="2" type="noConversion"/>
  </si>
  <si>
    <t>Poverty, male</t>
    <phoneticPr fontId="2" type="noConversion"/>
  </si>
  <si>
    <t>History of violent behavior, female</t>
    <phoneticPr fontId="2" type="noConversion"/>
  </si>
  <si>
    <t>History of violent behavior, male</t>
    <phoneticPr fontId="2" type="noConversion"/>
  </si>
  <si>
    <t>History of violent behavior, all-gender (no history as ref)</t>
    <phoneticPr fontId="2" type="noConversion"/>
  </si>
  <si>
    <t>History of suicide behavior, all-gender (no history as ref)</t>
    <phoneticPr fontId="2" type="noConversion"/>
  </si>
  <si>
    <t>History of suicide behavior, female</t>
    <phoneticPr fontId="2" type="noConversion"/>
  </si>
  <si>
    <t>History of suicide behavior, male</t>
    <phoneticPr fontId="2" type="noConversion"/>
  </si>
  <si>
    <t>Gohar SM 2023</t>
    <phoneticPr fontId="2" type="noConversion"/>
  </si>
  <si>
    <t>10.1016/S2215-0366(23)00156-6</t>
    <phoneticPr fontId="2" type="noConversion"/>
  </si>
  <si>
    <t> longer duration of untreated psychosis</t>
    <phoneticPr fontId="2" type="noConversion"/>
  </si>
  <si>
    <t>SI</t>
    <phoneticPr fontId="2" type="noConversion"/>
  </si>
  <si>
    <t>1.02–1.5</t>
    <phoneticPr fontId="2" type="noConversion"/>
  </si>
  <si>
    <t>1.01–1.73</t>
    <phoneticPr fontId="2" type="noConversion"/>
  </si>
  <si>
    <t>1.02–1.2</t>
    <phoneticPr fontId="2" type="noConversion"/>
  </si>
  <si>
    <t> 1.21–4.46</t>
    <phoneticPr fontId="2" type="noConversion"/>
  </si>
  <si>
    <t>suicide thoughts, behaviors vs ideation</t>
    <phoneticPr fontId="2" type="noConversion"/>
  </si>
  <si>
    <t>poorer premorbid childhood social adjustment</t>
    <phoneticPr fontId="2" type="noConversion"/>
  </si>
  <si>
    <t>more severe depression</t>
    <phoneticPr fontId="2" type="noConversion"/>
  </si>
  <si>
    <t>substance use</t>
    <phoneticPr fontId="2" type="noConversion"/>
  </si>
  <si>
    <t>suicide death vs trajectory</t>
    <phoneticPr fontId="2" type="noConversion"/>
  </si>
  <si>
    <t>1.33-7.25</t>
    <phoneticPr fontId="2" type="noConversion"/>
  </si>
  <si>
    <t>1.53-37.62</t>
    <phoneticPr fontId="2" type="noConversion"/>
  </si>
  <si>
    <t>Male</t>
  </si>
  <si>
    <t>Total</t>
  </si>
  <si>
    <t>18–34 y</t>
  </si>
  <si>
    <t>35–44 y</t>
  </si>
  <si>
    <t>45–54 y</t>
  </si>
  <si>
    <t>55–64 y</t>
  </si>
  <si>
    <t>≥ 65 y</t>
  </si>
  <si>
    <t>Hispanic</t>
  </si>
  <si>
    <t>18-34 y</t>
  </si>
  <si>
    <t>35-44 y</t>
  </si>
  <si>
    <t>45-54 y</t>
  </si>
  <si>
    <t>55-64 y</t>
  </si>
  <si>
    <t>&gt;=65 y</t>
  </si>
  <si>
    <t>Black</t>
  </si>
  <si>
    <t>Other</t>
  </si>
  <si>
    <t>(All data see excel sheet 2)</t>
    <phoneticPr fontId="2" type="noConversion"/>
  </si>
  <si>
    <t>Depressive disorders</t>
  </si>
  <si>
    <t>Anxiety disorders</t>
  </si>
  <si>
    <t>Alcohol use disorder</t>
  </si>
  <si>
    <t>Drug use disorder</t>
  </si>
  <si>
    <t>Sleep disorders</t>
  </si>
  <si>
    <t>Chronic pain</t>
  </si>
  <si>
    <t>Suicidal ideation</t>
  </si>
  <si>
    <t>Subgroup</t>
    <phoneticPr fontId="2" type="noConversion"/>
  </si>
  <si>
    <t>Age</t>
    <phoneticPr fontId="2" type="noConversion"/>
  </si>
  <si>
    <t>Male (ref: Female)</t>
    <phoneticPr fontId="2" type="noConversion"/>
  </si>
  <si>
    <t>Hispanic (ref: White)</t>
    <phoneticPr fontId="2" type="noConversion"/>
  </si>
  <si>
    <t>Depressive disorders</t>
    <phoneticPr fontId="2" type="noConversion"/>
  </si>
  <si>
    <t>Black (ref: White)</t>
    <phoneticPr fontId="2" type="noConversion"/>
  </si>
  <si>
    <t>Other (ref: White)</t>
    <phoneticPr fontId="2" type="noConversion"/>
  </si>
  <si>
    <t>Suicide attempt/self injury</t>
    <phoneticPr fontId="2" type="noConversion"/>
  </si>
  <si>
    <t>CI left</t>
    <phoneticPr fontId="2" type="noConversion"/>
  </si>
  <si>
    <t>CI right</t>
    <phoneticPr fontId="2" type="noConversion"/>
  </si>
  <si>
    <t>SE calculated</t>
    <phoneticPr fontId="2" type="noConversion"/>
  </si>
  <si>
    <t>Elixhauser 1-2</t>
  </si>
  <si>
    <t>Elixhauser &gt;=3</t>
  </si>
  <si>
    <t>Elixhauser Comorbidity Index=1-2 (ref:Index =0)</t>
    <phoneticPr fontId="2" type="noConversion"/>
  </si>
  <si>
    <t>Any inpatient admission</t>
  </si>
  <si>
    <t>Mental health admission</t>
  </si>
  <si>
    <t>Substance use admission</t>
  </si>
  <si>
    <t>Nonbehavioral health admission</t>
  </si>
  <si>
    <t>Any emergency department visit</t>
  </si>
  <si>
    <t>Emergency: Mental health</t>
  </si>
  <si>
    <t>Emergency: Substance use</t>
  </si>
  <si>
    <t>Emergency: Nonbehavioral health</t>
  </si>
  <si>
    <t>Olfson M 2021</t>
    <phoneticPr fontId="2" type="noConversion"/>
  </si>
  <si>
    <t>(All data see excel sheet 3)</t>
    <phoneticPr fontId="2" type="noConversion"/>
  </si>
  <si>
    <t>Lähteenvuo M 2021</t>
    <phoneticPr fontId="2" type="noConversion"/>
  </si>
  <si>
    <t>10.1111/acps.13291</t>
    <phoneticPr fontId="2" type="noConversion"/>
  </si>
  <si>
    <t>1.44-1.9</t>
    <phoneticPr fontId="2" type="noConversion"/>
  </si>
  <si>
    <t>1.67-2.77</t>
    <phoneticPr fontId="2" type="noConversion"/>
  </si>
  <si>
    <t>&lt; 0.0001</t>
  </si>
  <si>
    <t>&lt; 0.0001</t>
    <phoneticPr fontId="2" type="noConversion"/>
  </si>
  <si>
    <t>Reutfors J 2010</t>
    <phoneticPr fontId="2" type="noConversion"/>
  </si>
  <si>
    <t>10.1016/j.schres.2010.07.014</t>
  </si>
  <si>
    <t>other psychosis vs schizophrenia</t>
    <phoneticPr fontId="2" type="noConversion"/>
  </si>
  <si>
    <t>Schizoaffective disorder vs schizophrenia</t>
    <phoneticPr fontId="2" type="noConversion"/>
  </si>
  <si>
    <t>Mood disorder vs schizophrenia</t>
    <phoneticPr fontId="2" type="noConversion"/>
  </si>
  <si>
    <t>0.4–2.9</t>
    <phoneticPr fontId="2" type="noConversion"/>
  </si>
  <si>
    <t>0.3–2.8</t>
    <phoneticPr fontId="2" type="noConversion"/>
  </si>
  <si>
    <t>1.2–9</t>
    <phoneticPr fontId="2" type="noConversion"/>
  </si>
  <si>
    <t>10.1176/appi.ps.201200021</t>
    <phoneticPr fontId="2" type="noConversion"/>
  </si>
  <si>
    <t>Sex: Males vs Females (ref)</t>
  </si>
  <si>
    <t>0.68-0.9</t>
    <phoneticPr fontId="11" type="noConversion"/>
  </si>
  <si>
    <t>Age: 30-39 vs &lt;30 (ref)</t>
    <phoneticPr fontId="11" type="noConversion"/>
  </si>
  <si>
    <t>0.73-1.01</t>
    <phoneticPr fontId="11" type="noConversion"/>
  </si>
  <si>
    <t>Age: 40-49 vs &lt;30</t>
    <phoneticPr fontId="11" type="noConversion"/>
  </si>
  <si>
    <t>0.72-1.03</t>
    <phoneticPr fontId="11" type="noConversion"/>
  </si>
  <si>
    <t>Age: 50-59 vs &lt;30</t>
    <phoneticPr fontId="11" type="noConversion"/>
  </si>
  <si>
    <t>0.63-0.93</t>
    <phoneticPr fontId="11" type="noConversion"/>
  </si>
  <si>
    <t>Age: &gt;=60 vs &lt;30</t>
    <phoneticPr fontId="11" type="noConversion"/>
  </si>
  <si>
    <t>0.49-0.75</t>
    <phoneticPr fontId="11" type="noConversion"/>
  </si>
  <si>
    <t>&lt;.001</t>
  </si>
  <si>
    <t>Alcohol: Yes vs No (ref)</t>
  </si>
  <si>
    <t>0.81-1.12</t>
    <phoneticPr fontId="11" type="noConversion"/>
  </si>
  <si>
    <t>Cannabis: Yes vs No</t>
  </si>
  <si>
    <t>0.79-1.17</t>
    <phoneticPr fontId="11" type="noConversion"/>
  </si>
  <si>
    <t>Benzodiazepines: Yes vs No</t>
  </si>
  <si>
    <t>0.77-1.51</t>
    <phoneticPr fontId="11" type="noConversion"/>
  </si>
  <si>
    <t>Opioids: Yes vs No</t>
  </si>
  <si>
    <t>0.52-1.08</t>
    <phoneticPr fontId="11" type="noConversion"/>
  </si>
  <si>
    <t>CNS-stimulating drugs: Yes vs No</t>
  </si>
  <si>
    <t>0.85-1.56</t>
    <phoneticPr fontId="11" type="noConversion"/>
  </si>
  <si>
    <t>Other street drugs: Yes vs No</t>
  </si>
  <si>
    <t>0.48-0.98</t>
    <phoneticPr fontId="11" type="noConversion"/>
  </si>
  <si>
    <t>GAF 30-39 vs &lt;30</t>
    <phoneticPr fontId="11" type="noConversion"/>
  </si>
  <si>
    <t>1.34-2.01</t>
    <phoneticPr fontId="11" type="noConversion"/>
  </si>
  <si>
    <t>GAF 40-49 vs &lt;30</t>
    <phoneticPr fontId="11" type="noConversion"/>
  </si>
  <si>
    <t>1.26-1.97</t>
    <phoneticPr fontId="11" type="noConversion"/>
  </si>
  <si>
    <t>GAF &gt;=50 vs &lt;30</t>
    <phoneticPr fontId="11" type="noConversion"/>
  </si>
  <si>
    <t>1.29-1.99</t>
    <phoneticPr fontId="11" type="noConversion"/>
  </si>
  <si>
    <t>Antipsychotic treatment: Yes vs No</t>
  </si>
  <si>
    <t>0.76-1.38</t>
    <phoneticPr fontId="11" type="noConversion"/>
  </si>
  <si>
    <t>Contact with relatives: Yes vs No</t>
  </si>
  <si>
    <t>0.64-0.84</t>
    <phoneticPr fontId="11" type="noConversion"/>
  </si>
  <si>
    <t>Psychoeducation: Yes vs No</t>
  </si>
  <si>
    <t>1.65-2.16</t>
    <phoneticPr fontId="11" type="noConversion"/>
  </si>
  <si>
    <t>Psychopathology by specialist: Yes vs No</t>
  </si>
  <si>
    <t>Psychopathology by interview: Yes vs No</t>
  </si>
  <si>
    <t>Cognitive test: Yes vs No</t>
  </si>
  <si>
    <t>Contact with social worker: Yes vs No</t>
  </si>
  <si>
    <t>0.97-2.22</t>
    <phoneticPr fontId="2" type="noConversion"/>
  </si>
  <si>
    <t>1.10-2.26</t>
    <phoneticPr fontId="2" type="noConversion"/>
  </si>
  <si>
    <t>1.14-2.2</t>
    <phoneticPr fontId="2" type="noConversion"/>
  </si>
  <si>
    <t>0.61-1.14</t>
    <phoneticPr fontId="2" type="noConversion"/>
  </si>
  <si>
    <t>SE</t>
    <phoneticPr fontId="2" type="noConversion"/>
  </si>
  <si>
    <t>Yes/No</t>
    <phoneticPr fontId="2" type="noConversion"/>
  </si>
  <si>
    <t>(All data see excel sheet 4)</t>
    <phoneticPr fontId="2" type="noConversion"/>
  </si>
  <si>
    <t>Pedersen CG 2014</t>
    <phoneticPr fontId="2" type="noConversion"/>
  </si>
  <si>
    <t>aHR</t>
    <phoneticPr fontId="2" type="noConversion"/>
  </si>
  <si>
    <t>aOR</t>
    <phoneticPr fontId="2" type="noConversion"/>
  </si>
  <si>
    <t>Sample Size</t>
    <phoneticPr fontId="2" type="noConversion"/>
  </si>
  <si>
    <t>binary suicide risk assessment</t>
    <phoneticPr fontId="2" type="noConversion"/>
  </si>
  <si>
    <t>Ayesa-Arriola R 2015</t>
    <phoneticPr fontId="2" type="noConversion"/>
  </si>
  <si>
    <t>any suicide attempt in FEP: male vs female</t>
    <phoneticPr fontId="2" type="noConversion"/>
  </si>
  <si>
    <t>0.402–2.578</t>
    <phoneticPr fontId="2" type="noConversion"/>
  </si>
  <si>
    <t>any suicide attempt in FEP: rural area vs urban area</t>
    <phoneticPr fontId="2" type="noConversion"/>
  </si>
  <si>
    <t>0.125–1.257</t>
    <phoneticPr fontId="2" type="noConversion"/>
  </si>
  <si>
    <t>0.935–5.832</t>
  </si>
  <si>
    <t>any suicide attempt in FEP: cannabis consume</t>
    <phoneticPr fontId="2" type="noConversion"/>
  </si>
  <si>
    <t>any suicide attempt in FEP: premorbid social adjustment</t>
    <phoneticPr fontId="2" type="noConversion"/>
  </si>
  <si>
    <t>0.199–1.155</t>
  </si>
  <si>
    <t>1.72–11.85</t>
  </si>
  <si>
    <t>any suicide attempt in FEP: depression</t>
    <phoneticPr fontId="2" type="noConversion"/>
  </si>
  <si>
    <t>any suicide attempt in FEP: hospitalization at admisssion</t>
    <phoneticPr fontId="2" type="noConversion"/>
  </si>
  <si>
    <t>0.368–2.122</t>
  </si>
  <si>
    <t>early attempt in FEP: male vs female</t>
    <phoneticPr fontId="2" type="noConversion"/>
  </si>
  <si>
    <t>early attempt in FEP: rural area vs urban area</t>
    <phoneticPr fontId="2" type="noConversion"/>
  </si>
  <si>
    <t>early attempt in FEP: premorbid social adjustment</t>
    <phoneticPr fontId="2" type="noConversion"/>
  </si>
  <si>
    <t>early attempt in FEP: depression</t>
    <phoneticPr fontId="2" type="noConversion"/>
  </si>
  <si>
    <t>early attempt in FEP: hospitalization at admisssion</t>
    <phoneticPr fontId="2" type="noConversion"/>
  </si>
  <si>
    <t>1.029-8.678</t>
    <phoneticPr fontId="2" type="noConversion"/>
  </si>
  <si>
    <t>0.04-0.854</t>
    <phoneticPr fontId="2" type="noConversion"/>
  </si>
  <si>
    <t>0.162-0.989</t>
    <phoneticPr fontId="2" type="noConversion"/>
  </si>
  <si>
    <t>1.598-12.183</t>
    <phoneticPr fontId="2" type="noConversion"/>
  </si>
  <si>
    <t>1.367-18.414</t>
    <phoneticPr fontId="2" type="noConversion"/>
  </si>
  <si>
    <t>later attempt in FEP: duration of untreated psychosis</t>
    <phoneticPr fontId="2" type="noConversion"/>
  </si>
  <si>
    <t>later attempt in FEP: depression</t>
    <phoneticPr fontId="2" type="noConversion"/>
  </si>
  <si>
    <t>later attempt in FEP: cannabis consume</t>
    <phoneticPr fontId="2" type="noConversion"/>
  </si>
  <si>
    <t>0.999-1.001</t>
    <phoneticPr fontId="2" type="noConversion"/>
  </si>
  <si>
    <t>1.093-8.106</t>
    <phoneticPr fontId="2" type="noConversion"/>
  </si>
  <si>
    <t>0.763-4.292</t>
    <phoneticPr fontId="2" type="noConversion"/>
  </si>
  <si>
    <t>10.1016/j.euroneuro.2015.09.008</t>
    <phoneticPr fontId="2" type="noConversion"/>
  </si>
  <si>
    <t>Education years</t>
    <phoneticPr fontId="2" type="noConversion"/>
  </si>
  <si>
    <t>Days' work past month</t>
    <phoneticPr fontId="2" type="noConversion"/>
  </si>
  <si>
    <t xml:space="preserve">Married </t>
    <phoneticPr fontId="2" type="noConversion"/>
  </si>
  <si>
    <t>Vocational activity</t>
    <phoneticPr fontId="2" type="noConversion"/>
  </si>
  <si>
    <t>White</t>
    <phoneticPr fontId="2" type="noConversion"/>
  </si>
  <si>
    <t>Month income &gt; $617</t>
    <phoneticPr fontId="2" type="noConversion"/>
  </si>
  <si>
    <t>Economic scarcity</t>
    <phoneticPr fontId="2" type="noConversion"/>
  </si>
  <si>
    <t>Living with family</t>
    <phoneticPr fontId="2" type="noConversion"/>
  </si>
  <si>
    <t>Living with non-family</t>
    <phoneticPr fontId="2" type="noConversion"/>
  </si>
  <si>
    <t>Listened to by family (some)</t>
    <phoneticPr fontId="2" type="noConversion"/>
  </si>
  <si>
    <t>Violently victimized past 6 m</t>
    <phoneticPr fontId="2" type="noConversion"/>
  </si>
  <si>
    <t>Non-viol victimized past 6 m</t>
    <phoneticPr fontId="2" type="noConversion"/>
  </si>
  <si>
    <t>Substance abuse/dependence</t>
    <phoneticPr fontId="2" type="noConversion"/>
  </si>
  <si>
    <t>Supervised accommodation</t>
    <phoneticPr fontId="2" type="noConversion"/>
  </si>
  <si>
    <t>MH hospital past month</t>
    <phoneticPr fontId="2" type="noConversion"/>
  </si>
  <si>
    <t>Arrested for crime past 6 m</t>
    <phoneticPr fontId="2" type="noConversion"/>
  </si>
  <si>
    <t>In jail past 6 m</t>
    <phoneticPr fontId="2" type="noConversion"/>
  </si>
  <si>
    <t>Buchanan A 2020</t>
    <phoneticPr fontId="2" type="noConversion"/>
  </si>
  <si>
    <t>Adaptive function</t>
    <phoneticPr fontId="2" type="noConversion"/>
  </si>
  <si>
    <t>PANSS depression</t>
    <phoneticPr fontId="2" type="noConversion"/>
  </si>
  <si>
    <t>Alcohol severity scale</t>
    <phoneticPr fontId="2" type="noConversion"/>
  </si>
  <si>
    <t>0.05-0.69</t>
    <phoneticPr fontId="2" type="noConversion"/>
  </si>
  <si>
    <t>0.18-0.96</t>
    <phoneticPr fontId="2" type="noConversion"/>
  </si>
  <si>
    <t>0.99-3.19</t>
    <phoneticPr fontId="2" type="noConversion"/>
  </si>
  <si>
    <t>1.12-2.75</t>
    <phoneticPr fontId="2" type="noConversion"/>
  </si>
  <si>
    <r>
      <t>Male</t>
    </r>
    <r>
      <rPr>
        <b/>
        <sz val="11"/>
        <color theme="1"/>
        <rFont val="等线"/>
        <family val="3"/>
        <charset val="134"/>
        <scheme val="minor"/>
      </rPr>
      <t xml:space="preserve"> (Multivariate baseline correlation)</t>
    </r>
    <phoneticPr fontId="2" type="noConversion"/>
  </si>
  <si>
    <t>2.98-7.11</t>
    <phoneticPr fontId="2" type="noConversion"/>
  </si>
  <si>
    <t>5.98-20.47</t>
    <phoneticPr fontId="2" type="noConversion"/>
  </si>
  <si>
    <t xml:space="preserve">PANSS (positive) </t>
    <phoneticPr fontId="2" type="noConversion"/>
  </si>
  <si>
    <t>PANSS (total)  (Positive and Negative Symptom Scale)</t>
    <phoneticPr fontId="2" type="noConversion"/>
  </si>
  <si>
    <t>Baseline violence to others: present</t>
    <phoneticPr fontId="2" type="noConversion"/>
  </si>
  <si>
    <t>Childhood risk factors: Physical abuse</t>
    <phoneticPr fontId="2" type="noConversion"/>
  </si>
  <si>
    <t>Childhood risk factors: Sexual abuse</t>
    <phoneticPr fontId="2" type="noConversion"/>
  </si>
  <si>
    <r>
      <t>Baseline suicidality mild</t>
    </r>
    <r>
      <rPr>
        <b/>
        <sz val="11"/>
        <color theme="1"/>
        <rFont val="等线"/>
        <family val="3"/>
        <charset val="134"/>
        <scheme val="minor"/>
      </rPr>
      <t xml:space="preserve"> (Bivariate proportional hazards of correlates of time to first post-baseline moderate or severe suicidality in months 1 to 18)</t>
    </r>
    <phoneticPr fontId="2" type="noConversion"/>
  </si>
  <si>
    <t>Baseline suicidality moderate or severe</t>
    <phoneticPr fontId="2" type="noConversion"/>
  </si>
  <si>
    <t>Childhood risk factors: Conduct problems</t>
    <phoneticPr fontId="2" type="noConversion"/>
  </si>
  <si>
    <t>PANSS (negative)</t>
    <phoneticPr fontId="2" type="noConversion"/>
  </si>
  <si>
    <t xml:space="preserve">PANSS (disorganized) </t>
    <phoneticPr fontId="2" type="noConversion"/>
  </si>
  <si>
    <t>PANSS (excited)</t>
    <phoneticPr fontId="2" type="noConversion"/>
  </si>
  <si>
    <t>PANSS (depressed)</t>
    <phoneticPr fontId="2" type="noConversion"/>
  </si>
  <si>
    <t>Drug severity</t>
    <phoneticPr fontId="2" type="noConversion"/>
  </si>
  <si>
    <t>Alcohol severity</t>
    <phoneticPr fontId="2" type="noConversion"/>
  </si>
  <si>
    <t>Years in treatment</t>
    <phoneticPr fontId="2" type="noConversion"/>
  </si>
  <si>
    <t>Medication non-adherence</t>
    <phoneticPr fontId="2" type="noConversion"/>
  </si>
  <si>
    <t>Satisfaction with life</t>
    <phoneticPr fontId="2" type="noConversion"/>
  </si>
  <si>
    <t>Hospitalizations past year</t>
    <phoneticPr fontId="2" type="noConversion"/>
  </si>
  <si>
    <t>Post-baseline symptom change: PANSS (total)</t>
    <phoneticPr fontId="2" type="noConversion"/>
  </si>
  <si>
    <t>Post-baseline symptom change: PANSS (positive)</t>
    <phoneticPr fontId="2" type="noConversion"/>
  </si>
  <si>
    <t>Post-baseline symptom change: PANSS (negative)</t>
    <phoneticPr fontId="2" type="noConversion"/>
  </si>
  <si>
    <t>Post-baseline symptom change: PANSS (disorganized)</t>
    <phoneticPr fontId="2" type="noConversion"/>
  </si>
  <si>
    <t>Post-baseline symptom change: PANSS (excited)</t>
    <phoneticPr fontId="2" type="noConversion"/>
  </si>
  <si>
    <t>Post-baseline symptom change: PANSS (depressed)</t>
    <phoneticPr fontId="2" type="noConversion"/>
  </si>
  <si>
    <t>Post-baseline symptom change: Drug severity</t>
    <phoneticPr fontId="2" type="noConversion"/>
  </si>
  <si>
    <t>Post-baseline symptom change: Alcohol severity</t>
    <phoneticPr fontId="2" type="noConversion"/>
  </si>
  <si>
    <t>0.59-0.89</t>
    <phoneticPr fontId="2" type="noConversion"/>
  </si>
  <si>
    <t>0.46-1.08</t>
    <phoneticPr fontId="2" type="noConversion"/>
  </si>
  <si>
    <t>0.89-1.34</t>
    <phoneticPr fontId="2" type="noConversion"/>
  </si>
  <si>
    <t>0.69-2.07</t>
    <phoneticPr fontId="2" type="noConversion"/>
  </si>
  <si>
    <t>0.95-1.35</t>
    <phoneticPr fontId="2" type="noConversion"/>
  </si>
  <si>
    <t>0.69-2.33</t>
    <phoneticPr fontId="2" type="noConversion"/>
  </si>
  <si>
    <t>1.2-3.07</t>
    <phoneticPr fontId="2" type="noConversion"/>
  </si>
  <si>
    <t>0.78-1.74</t>
    <phoneticPr fontId="2" type="noConversion"/>
  </si>
  <si>
    <t>0.87-1.95</t>
    <phoneticPr fontId="2" type="noConversion"/>
  </si>
  <si>
    <t>1.5-3.48</t>
    <phoneticPr fontId="2" type="noConversion"/>
  </si>
  <si>
    <t>2.12-4.76</t>
    <phoneticPr fontId="2" type="noConversion"/>
  </si>
  <si>
    <t>1.03-2.36</t>
    <phoneticPr fontId="2" type="noConversion"/>
  </si>
  <si>
    <t>0.7-1.56</t>
    <phoneticPr fontId="2" type="noConversion"/>
  </si>
  <si>
    <t>0.08-1.3</t>
    <phoneticPr fontId="2" type="noConversion"/>
  </si>
  <si>
    <t>0.88-2.34</t>
    <phoneticPr fontId="2" type="noConversion"/>
  </si>
  <si>
    <t>0.49-4.89</t>
    <phoneticPr fontId="2" type="noConversion"/>
  </si>
  <si>
    <t>0.7-2.78</t>
    <phoneticPr fontId="2" type="noConversion"/>
  </si>
  <si>
    <t>1.05-2.81</t>
    <phoneticPr fontId="2" type="noConversion"/>
  </si>
  <si>
    <t>1.22-1.8</t>
    <phoneticPr fontId="2" type="noConversion"/>
  </si>
  <si>
    <t>1.09-1.59</t>
    <phoneticPr fontId="2" type="noConversion"/>
  </si>
  <si>
    <t>0.98-1.44</t>
    <phoneticPr fontId="2" type="noConversion"/>
  </si>
  <si>
    <t>0.73-1.09</t>
    <phoneticPr fontId="2" type="noConversion"/>
  </si>
  <si>
    <t>1.11-1.59</t>
    <phoneticPr fontId="2" type="noConversion"/>
  </si>
  <si>
    <t>1.7-2.5</t>
    <phoneticPr fontId="2" type="noConversion"/>
  </si>
  <si>
    <t>1.04-3.49</t>
    <phoneticPr fontId="2" type="noConversion"/>
  </si>
  <si>
    <t>0.89-1.33</t>
    <phoneticPr fontId="2" type="noConversion"/>
  </si>
  <si>
    <t>1.03-1.46</t>
    <phoneticPr fontId="2" type="noConversion"/>
  </si>
  <si>
    <t>0.71-1.07</t>
    <phoneticPr fontId="2" type="noConversion"/>
  </si>
  <si>
    <t>0.84-1.31</t>
    <phoneticPr fontId="2" type="noConversion"/>
  </si>
  <si>
    <t>0.57-1.28</t>
    <phoneticPr fontId="2" type="noConversion"/>
  </si>
  <si>
    <t>0.74-1.11</t>
    <phoneticPr fontId="2" type="noConversion"/>
  </si>
  <si>
    <t>0.59-0.87</t>
    <phoneticPr fontId="2" type="noConversion"/>
  </si>
  <si>
    <t>0.88-2.4</t>
    <phoneticPr fontId="2" type="noConversion"/>
  </si>
  <si>
    <t>0.77-2.16</t>
    <phoneticPr fontId="2" type="noConversion"/>
  </si>
  <si>
    <t>0.34-2.06</t>
    <phoneticPr fontId="2" type="noConversion"/>
  </si>
  <si>
    <t>0.16-1.61</t>
    <phoneticPr fontId="2" type="noConversion"/>
  </si>
  <si>
    <t>1.037-1.064</t>
    <phoneticPr fontId="2" type="noConversion"/>
  </si>
  <si>
    <t>1.054-1.19</t>
    <phoneticPr fontId="2" type="noConversion"/>
  </si>
  <si>
    <t>1.085-1.183</t>
    <phoneticPr fontId="2" type="noConversion"/>
  </si>
  <si>
    <t>0.99-1.181</t>
    <phoneticPr fontId="2" type="noConversion"/>
  </si>
  <si>
    <t>1.082-1.232</t>
    <phoneticPr fontId="2" type="noConversion"/>
  </si>
  <si>
    <t>1.437-1.656</t>
    <phoneticPr fontId="2" type="noConversion"/>
  </si>
  <si>
    <t>0.896-1.863</t>
    <phoneticPr fontId="2" type="noConversion"/>
  </si>
  <si>
    <t>1.151-2.182</t>
    <phoneticPr fontId="2" type="noConversion"/>
  </si>
  <si>
    <t>Baseline suicidality mild (Multivariate Cox proportional hazards regression analysis)</t>
    <phoneticPr fontId="2" type="noConversion"/>
  </si>
  <si>
    <t>PANSS excited</t>
    <phoneticPr fontId="2" type="noConversion"/>
  </si>
  <si>
    <t>Change in PANSS depression</t>
    <phoneticPr fontId="2" type="noConversion"/>
  </si>
  <si>
    <t>Change in satisfaction with life</t>
    <phoneticPr fontId="2" type="noConversion"/>
  </si>
  <si>
    <t>suicide mortality Finnish: schizophrenia + substance use disorders</t>
    <phoneticPr fontId="2" type="noConversion"/>
  </si>
  <si>
    <t>suicide mortality Swedish: schizophrenia + SUD</t>
    <phoneticPr fontId="2" type="noConversion"/>
  </si>
  <si>
    <t>10.1001/jamapsychiatry.2021.0841</t>
    <phoneticPr fontId="2" type="noConversion"/>
  </si>
  <si>
    <t>10.1016/j.schres.2020.09.019</t>
    <phoneticPr fontId="2" type="noConversion"/>
  </si>
  <si>
    <t>Lopez-Morinigo JD 2016</t>
    <phoneticPr fontId="2" type="noConversion"/>
  </si>
  <si>
    <t>10.1136/bmjopen-2016-011929</t>
    <phoneticPr fontId="2" type="noConversion"/>
  </si>
  <si>
    <t>Marital status (unmarried)</t>
    <phoneticPr fontId="2" type="noConversion"/>
  </si>
  <si>
    <t>Unemployed</t>
    <phoneticPr fontId="2" type="noConversion"/>
  </si>
  <si>
    <t>Black</t>
    <phoneticPr fontId="2" type="noConversion"/>
  </si>
  <si>
    <t>South-Asian</t>
    <phoneticPr fontId="2" type="noConversion"/>
  </si>
  <si>
    <t>Others</t>
    <phoneticPr fontId="2" type="noConversion"/>
  </si>
  <si>
    <t>First language English</t>
    <phoneticPr fontId="2" type="noConversion"/>
  </si>
  <si>
    <t>1.88-13.8</t>
  </si>
  <si>
    <t>1.09-4.99</t>
  </si>
  <si>
    <t>1.08-4.24</t>
  </si>
  <si>
    <t>1.18-2.36</t>
  </si>
  <si>
    <t>1.02-1.92</t>
  </si>
  <si>
    <t>0.52-0.83</t>
  </si>
  <si>
    <t>2.79-4.4</t>
    <phoneticPr fontId="2" type="noConversion"/>
  </si>
  <si>
    <t>1.18-3.65</t>
  </si>
  <si>
    <t>0.24-1.72</t>
  </si>
  <si>
    <t>0.66-1.85</t>
  </si>
  <si>
    <t>0.49-1.42</t>
  </si>
  <si>
    <t>0.48-3.71</t>
  </si>
  <si>
    <t>0.29-2.57</t>
  </si>
  <si>
    <t>0.53-1.47</t>
  </si>
  <si>
    <t>0.51-3.6</t>
    <phoneticPr fontId="2" type="noConversion"/>
  </si>
  <si>
    <t>0.24-5.58</t>
  </si>
  <si>
    <t>0.65-2.49</t>
  </si>
  <si>
    <t>0.09-1.72</t>
  </si>
  <si>
    <t>0.37-1.52</t>
  </si>
  <si>
    <t>0.77-2.66</t>
  </si>
  <si>
    <t>Oral classic</t>
  </si>
  <si>
    <t>Oral atypical</t>
  </si>
  <si>
    <t>Clozapine</t>
  </si>
  <si>
    <t>Depot</t>
  </si>
  <si>
    <t>Antidepressant</t>
  </si>
  <si>
    <t>Gender</t>
  </si>
  <si>
    <t>Suicidal history</t>
  </si>
  <si>
    <t>Violent method</t>
  </si>
  <si>
    <t>Recent hospital discharge</t>
  </si>
  <si>
    <t>0.90-0.98</t>
  </si>
  <si>
    <t>0.55-3.41</t>
  </si>
  <si>
    <t>1.11-9.89</t>
  </si>
  <si>
    <t>0.42-4.55</t>
  </si>
  <si>
    <t>1.09-8.39</t>
  </si>
  <si>
    <t>0.87-5.72</t>
  </si>
  <si>
    <t>1.80-9.18</t>
  </si>
  <si>
    <t>1.14-8.20</t>
  </si>
  <si>
    <r>
      <t>Age at first contact</t>
    </r>
    <r>
      <rPr>
        <b/>
        <sz val="11"/>
        <color theme="1"/>
        <rFont val="等线"/>
        <family val="3"/>
        <charset val="134"/>
        <scheme val="minor"/>
      </rPr>
      <t xml:space="preserve"> (Multivariable regression model)</t>
    </r>
    <phoneticPr fontId="2" type="noConversion"/>
  </si>
  <si>
    <r>
      <t>Age at first contact</t>
    </r>
    <r>
      <rPr>
        <b/>
        <sz val="11"/>
        <color theme="1"/>
        <rFont val="等线"/>
        <family val="3"/>
        <charset val="134"/>
        <scheme val="minor"/>
      </rPr>
      <t xml:space="preserve"> (Final regression model)</t>
    </r>
    <phoneticPr fontId="2" type="noConversion"/>
  </si>
  <si>
    <t>Coentre R 2021</t>
    <phoneticPr fontId="2" type="noConversion"/>
  </si>
  <si>
    <t>10.1186/s12991-021-00356-0</t>
    <phoneticPr fontId="2" type="noConversion"/>
  </si>
  <si>
    <t> Male/female sex, n (%); Baseline suicidal behaviour</t>
    <phoneticPr fontId="2" type="noConversion"/>
  </si>
  <si>
    <t> Male/female sex, n (%); 12-month suicidal behaviour</t>
    <phoneticPr fontId="2" type="noConversion"/>
  </si>
  <si>
    <t> Age at entry, mean (SD); 12-month suicidal behaviour</t>
    <phoneticPr fontId="2" type="noConversion"/>
  </si>
  <si>
    <t> Years of education, mean (SD); 12-month suicidal behaviour</t>
    <phoneticPr fontId="2" type="noConversion"/>
  </si>
  <si>
    <t> Married/with partner, n (%); 12-month suicidal behaviour</t>
    <phoneticPr fontId="2" type="noConversion"/>
  </si>
  <si>
    <t> Living alone, n (%); 12-month suicidal behaviour</t>
    <phoneticPr fontId="2" type="noConversion"/>
  </si>
  <si>
    <t> Employed/student, n (%); 12-month suicidal behaviour</t>
    <phoneticPr fontId="2" type="noConversion"/>
  </si>
  <si>
    <t> Age at entry, mean (SD); Baseline suicidal behaviour</t>
    <phoneticPr fontId="2" type="noConversion"/>
  </si>
  <si>
    <t> Years of education, mean (SD); Baseline suicidal behaviour</t>
    <phoneticPr fontId="2" type="noConversion"/>
  </si>
  <si>
    <t> Married/with partner, n (%); Baseline suicidal behaviour</t>
    <phoneticPr fontId="2" type="noConversion"/>
  </si>
  <si>
    <t> Living alone, n (%); Baseline suicidal behaviour</t>
    <phoneticPr fontId="2" type="noConversion"/>
  </si>
  <si>
    <t> Employed/student, n (%); Baseline suicidal behaviour</t>
    <phoneticPr fontId="2" type="noConversion"/>
  </si>
  <si>
    <t>0.93–1.04</t>
  </si>
  <si>
    <t>0.89–1.16</t>
  </si>
  <si>
    <t>0.54–5.73</t>
  </si>
  <si>
    <t>0.03–1.95</t>
  </si>
  <si>
    <t>0.36–1.91</t>
  </si>
  <si>
    <t>0.50–10.14</t>
  </si>
  <si>
    <t>0.87–1.04</t>
  </si>
  <si>
    <t>0.75–1.18</t>
  </si>
  <si>
    <t>0.14–13.25</t>
  </si>
  <si>
    <t>0.41–11.95</t>
  </si>
  <si>
    <t>0.48–2.74</t>
  </si>
  <si>
    <t>0.35–27.43</t>
  </si>
  <si>
    <t>1.68–9.53</t>
  </si>
  <si>
    <t>1.51–116.01</t>
  </si>
  <si>
    <t>0.50–2.87</t>
  </si>
  <si>
    <t>0.37–11.05</t>
  </si>
  <si>
    <t>0.60–3.17</t>
  </si>
  <si>
    <t>0.19–4.11</t>
  </si>
  <si>
    <t>0.99–1.00</t>
  </si>
  <si>
    <t>0.99–1.01</t>
  </si>
  <si>
    <t>0.45–6.40</t>
  </si>
  <si>
    <t>0.51–2.77</t>
  </si>
  <si>
    <t>0.47–13.94</t>
  </si>
  <si>
    <t>1.16–26.70</t>
  </si>
  <si>
    <t>0.96–1.39</t>
  </si>
  <si>
    <t>0.92–1.03</t>
  </si>
  <si>
    <t>0.97–1.02</t>
  </si>
  <si>
    <t>0.97–1.06</t>
  </si>
  <si>
    <t>1.46–8.39</t>
  </si>
  <si>
    <t>0.88–26.14</t>
  </si>
  <si>
    <t>0.89–0.97</t>
  </si>
  <si>
    <t>0.87–1.00</t>
  </si>
  <si>
    <t>0.90–0.99</t>
  </si>
  <si>
    <t>0.89–1.03</t>
  </si>
  <si>
    <t>0.91–1.01</t>
  </si>
  <si>
    <t>0.89–1.09</t>
  </si>
  <si>
    <t>0.96–1.07</t>
  </si>
  <si>
    <t>0.88–1.07</t>
  </si>
  <si>
    <t>0.29–1.86</t>
  </si>
  <si>
    <t>0.19–6.24</t>
  </si>
  <si>
    <t>1.01–7.31</t>
  </si>
  <si>
    <t>0.72–15.37</t>
  </si>
  <si>
    <t>0.21–1.18</t>
  </si>
  <si>
    <t>0.05–1.55</t>
  </si>
  <si>
    <t>0.986–1.012</t>
  </si>
  <si>
    <t>0.95–0.99</t>
  </si>
  <si>
    <t> Family history of mental disorder, n (%); Baseline suicidal behaviour</t>
    <phoneticPr fontId="2" type="noConversion"/>
  </si>
  <si>
    <t> History of suicidal behaviour, n (%); Baseline suicidal behaviour; Baseline suicidal behaviour</t>
  </si>
  <si>
    <t> History of substance use, n (%); Baseline suicidal behaviour</t>
  </si>
  <si>
    <t> History of alcohol abuse, n (%); Baseline suicidal behaviour</t>
  </si>
  <si>
    <t> DUP, median (SD) days; Baseline suicidal behaviour</t>
  </si>
  <si>
    <t> Hospitalisation, n (%); Baseline suicidal behaviour</t>
  </si>
  <si>
    <t> Tobacco use, n (%); Baseline suicidal behaviour</t>
  </si>
  <si>
    <t> Last-month baseline suicidal behaviour; Baseline suicidal behaviour</t>
  </si>
  <si>
    <t> Schizophrenia-spectrum disorder, n (%); Baseline suicidal behaviour</t>
  </si>
  <si>
    <t> Affective psychosis, n (%); Baseline suicidal behaviour</t>
  </si>
  <si>
    <t> Other psychosis, n (%); Baseline suicidal behaviour</t>
  </si>
  <si>
    <t> PANSS positive symptoms, mean (SD); Baseline suicidal behaviour</t>
  </si>
  <si>
    <t> PANSS negative symptoms, mean (SD); Baseline suicidal behaviour</t>
  </si>
  <si>
    <t> PANSS general symptoms, mean (SD); Baseline suicidal behaviour</t>
  </si>
  <si>
    <t> BDI, mean (SD); Baseline suicidal behaviour</t>
  </si>
  <si>
    <t> Depression, n (%); Baseline suicidal behaviour</t>
  </si>
  <si>
    <t> GAF, mean (SD); Baseline suicidal behaviour</t>
  </si>
  <si>
    <t> MARS, mean (SD); Baseline suicidal behaviour</t>
  </si>
  <si>
    <t> Total cholesterol; Baseline suicidal behaviour</t>
  </si>
  <si>
    <t> History of suicidal behaviour, n (%); 12-month suicidal behaviour</t>
    <phoneticPr fontId="2" type="noConversion"/>
  </si>
  <si>
    <t> Family history of mental disorder, n (%); 12-month suicidal behaviour</t>
    <phoneticPr fontId="2" type="noConversion"/>
  </si>
  <si>
    <t> History of substance use, n (%); 12-month suicidal behaviour</t>
    <phoneticPr fontId="2" type="noConversion"/>
  </si>
  <si>
    <t> History of alcohol abuse, n (%); 12-month suicidal behaviour</t>
    <phoneticPr fontId="2" type="noConversion"/>
  </si>
  <si>
    <t> DUP, median (SD) days; 12-month suicidal behaviour</t>
    <phoneticPr fontId="2" type="noConversion"/>
  </si>
  <si>
    <t> Hospitalisation, n (%); 12-month suicidal behaviour</t>
    <phoneticPr fontId="2" type="noConversion"/>
  </si>
  <si>
    <t> Tobacco use, n (%); 12-month suicidal behaviour</t>
    <phoneticPr fontId="2" type="noConversion"/>
  </si>
  <si>
    <t> Last-month baseline suicidal behaviour; 12-month suicidal behaviour</t>
    <phoneticPr fontId="2" type="noConversion"/>
  </si>
  <si>
    <t> Schizophrenia-spectrum disorder, n (%); 12-month suicidal behaviour</t>
    <phoneticPr fontId="2" type="noConversion"/>
  </si>
  <si>
    <t> Affective psychosis, n (%); 12-month suicidal behaviour</t>
    <phoneticPr fontId="2" type="noConversion"/>
  </si>
  <si>
    <t> Total cholesterol; 12-month suicidal behaviour</t>
    <phoneticPr fontId="2" type="noConversion"/>
  </si>
  <si>
    <t> MARS, mean (SD); 12-month suicidal behaviour</t>
    <phoneticPr fontId="2" type="noConversion"/>
  </si>
  <si>
    <t> GAF, mean (SD); 12-month suicidal behaviour</t>
    <phoneticPr fontId="2" type="noConversion"/>
  </si>
  <si>
    <t> Depression, n (%); 12-month suicidal behaviour</t>
    <phoneticPr fontId="2" type="noConversion"/>
  </si>
  <si>
    <t> BDI, mean (SD); 12-month suicidal behaviour</t>
    <phoneticPr fontId="2" type="noConversion"/>
  </si>
  <si>
    <t> PANSS general symptoms, mean (SD); 12-month suicidal behaviour</t>
    <phoneticPr fontId="2" type="noConversion"/>
  </si>
  <si>
    <t> PANSS negative symptoms, mean (SD); 12-month suicidal behaviour</t>
    <phoneticPr fontId="2" type="noConversion"/>
  </si>
  <si>
    <t> PANSS positive symptoms, mean (SD); 12-month suicidal behaviour</t>
    <phoneticPr fontId="2" type="noConversion"/>
  </si>
  <si>
    <t> Other psychosis, n (%); 12-month suicidal behaviour</t>
    <phoneticPr fontId="2" type="noConversion"/>
  </si>
  <si>
    <t>p value</t>
  </si>
  <si>
    <t>1.20–7.34</t>
  </si>
  <si>
    <t>1.41–8.43</t>
  </si>
  <si>
    <t>1.74–171.65</t>
  </si>
  <si>
    <t>0.94–0.99</t>
  </si>
  <si>
    <t> Depression baseline (Baseline)</t>
    <phoneticPr fontId="2" type="noConversion"/>
  </si>
  <si>
    <t> History of suicide behaviour (Baseline)</t>
    <phoneticPr fontId="2" type="noConversion"/>
  </si>
  <si>
    <t> Constant (Baseline)</t>
    <phoneticPr fontId="2" type="noConversion"/>
  </si>
  <si>
    <t> History of suicide behaviour (12-month follow-up)</t>
    <phoneticPr fontId="2" type="noConversion"/>
  </si>
  <si>
    <t> Total cholesterol baseline (12-month follow-up)</t>
    <phoneticPr fontId="2" type="noConversion"/>
  </si>
  <si>
    <t> Constant (12-month follow-up)</t>
    <phoneticPr fontId="2" type="noConversion"/>
  </si>
  <si>
    <t>(All data see excel sheet 5)</t>
    <phoneticPr fontId="2" type="noConversion"/>
  </si>
  <si>
    <t>Bakst S 2009</t>
    <phoneticPr fontId="2" type="noConversion"/>
  </si>
  <si>
    <t>0.99–1.02</t>
  </si>
  <si>
    <t>1.00–1.05</t>
  </si>
  <si>
    <t>.03*</t>
  </si>
  <si>
    <t>1.00–1.06</t>
  </si>
  <si>
    <t>.04*</t>
  </si>
  <si>
    <t>0.75–1.45</t>
  </si>
  <si>
    <t>0.72–1.83</t>
  </si>
  <si>
    <t>0.82–2.18</t>
  </si>
  <si>
    <t>0.85–1.68</t>
  </si>
  <si>
    <t>0.82–2.14</t>
  </si>
  <si>
    <t>0.81–1.92</t>
  </si>
  <si>
    <t>0.53–2.04</t>
  </si>
  <si>
    <t>0.82–1.69</t>
  </si>
  <si>
    <t>0.72–2.03</t>
  </si>
  <si>
    <t>0.81–1.76</t>
  </si>
  <si>
    <t>0.64–1.91</t>
  </si>
  <si>
    <t>0.90–1.77</t>
  </si>
  <si>
    <t>0.72–1.89</t>
  </si>
  <si>
    <t>0.69–1.71</t>
  </si>
  <si>
    <t>0.56–2.05</t>
  </si>
  <si>
    <t>1.07–2.08</t>
  </si>
  <si>
    <t>.01*</t>
  </si>
  <si>
    <t>0.95–1.85</t>
  </si>
  <si>
    <t>.09$</t>
  </si>
  <si>
    <t>1.10–2.90</t>
  </si>
  <si>
    <t>0.94–2.58</t>
  </si>
  <si>
    <t>.08$</t>
  </si>
  <si>
    <t>1.57–3.04</t>
  </si>
  <si>
    <t>&lt;.00***</t>
  </si>
  <si>
    <t>1.05–1.36</t>
  </si>
  <si>
    <t>&lt;.01**</t>
  </si>
  <si>
    <t>1.38–4.77</t>
  </si>
  <si>
    <t>1.04–2.89</t>
  </si>
  <si>
    <t>1.03–2.56</t>
  </si>
  <si>
    <t>0.73–1.90</t>
  </si>
  <si>
    <t>0.90–3.46</t>
  </si>
  <si>
    <t>0.90–1.92</t>
  </si>
  <si>
    <t>0.61–1.73</t>
  </si>
  <si>
    <t>SANS (negative symptoms)</t>
  </si>
  <si>
    <t>SAPS (disorganized dimension)</t>
  </si>
  <si>
    <t>0.98–1.04</t>
  </si>
  <si>
    <t>1.01–1.10</t>
  </si>
  <si>
    <t>0.98–1.08</t>
  </si>
  <si>
    <t>SAPS (psychoticism dimension)</t>
  </si>
  <si>
    <t>2.36–4.53</t>
  </si>
  <si>
    <t>2.77–7.16</t>
  </si>
  <si>
    <t>2.66–5.89</t>
  </si>
  <si>
    <t>2.07–4.02</t>
  </si>
  <si>
    <t>3.50–14.18</t>
  </si>
  <si>
    <t>2.17–5.79</t>
  </si>
  <si>
    <t>(All data see excel sheet 6)</t>
    <phoneticPr fontId="2" type="noConversion"/>
  </si>
  <si>
    <t>95%CI</t>
    <phoneticPr fontId="2" type="noConversion"/>
  </si>
  <si>
    <t>p-value</t>
    <phoneticPr fontId="2" type="noConversion"/>
  </si>
  <si>
    <t>CI</t>
    <phoneticPr fontId="2" type="noConversion"/>
  </si>
  <si>
    <t>10.1093/schbul/sbp001</t>
    <phoneticPr fontId="2" type="noConversion"/>
  </si>
  <si>
    <t>Age at admission &lt; 28 y: younger /older</t>
  </si>
  <si>
    <t>Sex: male /female</t>
  </si>
  <si>
    <t>Admissione: voluntary /involuntary</t>
  </si>
  <si>
    <t xml:space="preserve">Living status: alone /other </t>
  </si>
  <si>
    <t>Socioeconomic statusf: upper-middle /lower</t>
  </si>
  <si>
    <t>Race: white /other</t>
  </si>
  <si>
    <t>Diagnosis: schizophrenia /other</t>
  </si>
  <si>
    <t xml:space="preserve">IQg: IQ WNL /low IQ </t>
  </si>
  <si>
    <t>Lifetime substance abuse: yes /no</t>
  </si>
  <si>
    <t>Depression h: severe /mild</t>
  </si>
  <si>
    <t>Insighti: acknowledges /denies</t>
  </si>
  <si>
    <t>Duration of symptomsj: &lt;6 mo /&gt;6 mo</t>
  </si>
  <si>
    <t>Lifetime suicide ideation: yes /no</t>
  </si>
  <si>
    <t>Lifetime suicide attempts: yes /no</t>
  </si>
  <si>
    <t>Admissione: voluntary /involuntary</t>
    <phoneticPr fontId="2" type="noConversion"/>
  </si>
  <si>
    <t>Age at admission &lt; 28 y: younger /older (Multivariable Model)</t>
    <phoneticPr fontId="2" type="noConversion"/>
  </si>
  <si>
    <t>Sex: male /female (Multivariable Model)</t>
    <phoneticPr fontId="2" type="noConversion"/>
  </si>
  <si>
    <t>Lifetime substance abuse: yes /no (Multivariable Model)</t>
    <phoneticPr fontId="2" type="noConversion"/>
  </si>
  <si>
    <t>Depression h: severe /mild (Multivariable Model)</t>
    <phoneticPr fontId="2" type="noConversion"/>
  </si>
  <si>
    <t>Insighti: acknowledges /denies (Multivariable Model)</t>
    <phoneticPr fontId="2" type="noConversion"/>
  </si>
  <si>
    <t>SAPS (disorganized dimension) (Multivariable Model)</t>
    <phoneticPr fontId="2" type="noConversion"/>
  </si>
  <si>
    <t>Lifetime suicide attempts: yes /no (Multivariable Model)</t>
    <phoneticPr fontId="2" type="noConversion"/>
  </si>
  <si>
    <t>Intermediate: no history of suicide attempt at baseline and having 3 or more other risk factors (Suicide Risk Index Implemented to Predict Suicide Ideation and Attempts During 48 mo)</t>
    <phoneticPr fontId="2" type="noConversion"/>
  </si>
  <si>
    <t>SAPS (disorganized dimension)</t>
    <phoneticPr fontId="2" type="noConversion"/>
  </si>
  <si>
    <r>
      <rPr>
        <sz val="11"/>
        <color theme="1"/>
        <rFont val="等线"/>
        <family val="3"/>
        <charset val="134"/>
        <scheme val="minor"/>
      </rPr>
      <t>High</t>
    </r>
    <r>
      <rPr>
        <sz val="11"/>
        <color rgb="FF1B1B1B"/>
        <rFont val="等线"/>
        <family val="3"/>
        <charset val="134"/>
        <scheme val="minor"/>
      </rPr>
      <t>: history of suicide attempt and 1 or more risk factors (Suicide Risk Index Implemented to Predict Suicide Ideation and Attempts During 48 mo)</t>
    </r>
    <phoneticPr fontId="2" type="noConversion"/>
  </si>
  <si>
    <t>Intermediate: no history of suicide attempt at baseline and having 3 or more other risk factors (Suicide Risk Index Implemented to Predict Suicide Ideation and Attempts During 49 mo)</t>
  </si>
  <si>
    <r>
      <rPr>
        <sz val="11"/>
        <color theme="1"/>
        <rFont val="等线"/>
        <family val="3"/>
        <charset val="134"/>
        <scheme val="minor"/>
      </rPr>
      <t>High</t>
    </r>
    <r>
      <rPr>
        <sz val="11"/>
        <color rgb="FF1B1B1B"/>
        <rFont val="等线"/>
        <family val="3"/>
        <charset val="134"/>
        <scheme val="minor"/>
      </rPr>
      <t>: history of suicide attempt and 1 or more risk factors (Suicide Risk Index Implemented to Predict Suicide Ideation and Attempts During 49 mo)</t>
    </r>
    <r>
      <rPr>
        <sz val="11"/>
        <color theme="1"/>
        <rFont val="等线"/>
        <family val="2"/>
        <charset val="134"/>
        <scheme val="minor"/>
      </rPr>
      <t/>
    </r>
  </si>
  <si>
    <t>1.14–3.18</t>
  </si>
  <si>
    <t>1.03–5.70</t>
  </si>
  <si>
    <t>3.02–7.96</t>
  </si>
  <si>
    <t>3.59–17.70</t>
  </si>
  <si>
    <t>&lt; .001</t>
  </si>
  <si>
    <t>(All data see excel sheet 7)</t>
    <phoneticPr fontId="2" type="noConversion"/>
  </si>
  <si>
    <t>SI/SA</t>
    <phoneticPr fontId="2" type="noConversion"/>
  </si>
  <si>
    <t>Chan SKW 2018</t>
    <phoneticPr fontId="2" type="noConversion"/>
  </si>
  <si>
    <t>10.1001/jamapsychiatry.2018.0185</t>
    <phoneticPr fontId="2" type="noConversion"/>
  </si>
  <si>
    <t>0.36-0.91</t>
    <phoneticPr fontId="2" type="noConversion"/>
  </si>
  <si>
    <t>Male vs female</t>
    <phoneticPr fontId="2" type="noConversion"/>
  </si>
  <si>
    <t>0.95-2.56</t>
    <phoneticPr fontId="2" type="noConversion"/>
  </si>
  <si>
    <t>Age (1-y increase)</t>
    <phoneticPr fontId="2" type="noConversion"/>
  </si>
  <si>
    <t>0.83-1.17</t>
    <phoneticPr fontId="2" type="noConversion"/>
  </si>
  <si>
    <t>Age at onset (1-y increase)</t>
    <phoneticPr fontId="2" type="noConversion"/>
  </si>
  <si>
    <t>0.87-1.21</t>
    <phoneticPr fontId="2" type="noConversion"/>
  </si>
  <si>
    <t>Educational level (1-y increase)</t>
    <phoneticPr fontId="2" type="noConversion"/>
  </si>
  <si>
    <t>0.85-1.01</t>
    <phoneticPr fontId="2" type="noConversion"/>
  </si>
  <si>
    <r>
      <t xml:space="preserve">Early intervention vs standard care </t>
    </r>
    <r>
      <rPr>
        <b/>
        <sz val="11"/>
        <color theme="1"/>
        <rFont val="等线"/>
        <family val="3"/>
        <charset val="134"/>
        <scheme val="minor"/>
      </rPr>
      <t>(Propensity Score–Adjusted Cox Proportional Hazards Regression Full Model for Survival)</t>
    </r>
    <phoneticPr fontId="2" type="noConversion"/>
  </si>
  <si>
    <t>0.90-1.09</t>
  </si>
  <si>
    <t>Educational level, SD after 1-3 years since service</t>
  </si>
  <si>
    <t>0.83-1.06</t>
  </si>
  <si>
    <t>Sex (ref: female), SD after 1-3 years since service</t>
  </si>
  <si>
    <t>0.69-2.63</t>
  </si>
  <si>
    <t>0.86-1.38</t>
  </si>
  <si>
    <t>Baseline positive symptoms, SD after 1-3 years since service</t>
  </si>
  <si>
    <t>0.65-1.64</t>
  </si>
  <si>
    <t>Baseline negative symptoms, SD after 1-3 years since service</t>
  </si>
  <si>
    <t>0.74-1.24</t>
  </si>
  <si>
    <t>Baseline affective symptoms, SD after 1-3 years since service</t>
  </si>
  <si>
    <t>0.83-1.47</t>
  </si>
  <si>
    <t>Premorbid occupational impairment (ref: not impaired), SD after 1-3 years since service</t>
  </si>
  <si>
    <t>0.18-3.17</t>
  </si>
  <si>
    <t>No. of suicide attempts during DUP, SD after 1-3 years since service</t>
  </si>
  <si>
    <t>1.24-2.17</t>
  </si>
  <si>
    <t>No. of suicide attempts (first 3 y), SD after 1-3 years since service</t>
  </si>
  <si>
    <t>1.39-2.73</t>
  </si>
  <si>
    <t>No. of hospitalization (first 3 y), SD after 1-3 years since service</t>
  </si>
  <si>
    <t>0.96-1.05</t>
  </si>
  <si>
    <t>No. of relapse (first 3 y), SD after 1-3 years since service</t>
  </si>
  <si>
    <t>0.70-1.28</t>
  </si>
  <si>
    <t>Adherence (first 3 y), SD after 1-3 years since service</t>
  </si>
  <si>
    <t>0.79-3.34</t>
  </si>
  <si>
    <t>Presence of substance abuse (ref: none), SD after 1-3 years since service</t>
  </si>
  <si>
    <t>0.19-1.59</t>
  </si>
  <si>
    <t>Mean defined daily dose, SD after 1-3 years since service</t>
  </si>
  <si>
    <t>0.44-1.67</t>
  </si>
  <si>
    <t>0.92-1.13</t>
  </si>
  <si>
    <t>Educational level, SD after 4-12 years since service</t>
  </si>
  <si>
    <t>0.78-1.00</t>
  </si>
  <si>
    <t>Sex (ref: female), SD after 4-12 years since service</t>
  </si>
  <si>
    <t>0.88-3.31</t>
  </si>
  <si>
    <t>Duration of untreated psychosis, d, SD after 4-12 years since service</t>
  </si>
  <si>
    <t>0.83-1.20</t>
  </si>
  <si>
    <t>Baseline positive symptoms, SD after 4-12 years since service</t>
  </si>
  <si>
    <t>0.70-1.35</t>
  </si>
  <si>
    <t>Baseline negative symptoms, SD after 4-12 years since service</t>
  </si>
  <si>
    <t>0.85-1.41</t>
  </si>
  <si>
    <t>Baseline affective symptoms, SD after 4-12 years since service</t>
  </si>
  <si>
    <t>Premorbid occupational impairment (ref: not impaired), SD after 4-12 years since service</t>
  </si>
  <si>
    <t>1.17-6.13</t>
  </si>
  <si>
    <t>No. of suicide attempts during DUP, SD after 4-12 years since service</t>
  </si>
  <si>
    <t>0.89-1.96</t>
  </si>
  <si>
    <t>No. of suicide attempts (first 3 y), SD after 4-12 years since service</t>
  </si>
  <si>
    <t>0.96-2.34</t>
  </si>
  <si>
    <t>0.98-1.08</t>
  </si>
  <si>
    <t>No. of relapse (first 3 y), SD after 4-12 years since service</t>
  </si>
  <si>
    <t>1.03-1.75</t>
  </si>
  <si>
    <t>1.32-4.94</t>
  </si>
  <si>
    <t>Presence of substance abuse (ref: none), SD after 4-12 years since service</t>
  </si>
  <si>
    <t>0.28-2.80</t>
  </si>
  <si>
    <t>Mean defined daily dose, SD after 4-12 years since service</t>
  </si>
  <si>
    <t>0.70-1.72</t>
  </si>
  <si>
    <t>0.94-1.08</t>
  </si>
  <si>
    <t>Educational level, SD during 12 years since service</t>
  </si>
  <si>
    <t>0.84-0.99</t>
  </si>
  <si>
    <t>Sex (ref: female), SD during 12 years since service</t>
  </si>
  <si>
    <t>0.94-2.47</t>
  </si>
  <si>
    <t>Duration of untreated psychosis, d, SD during 12 years since service</t>
  </si>
  <si>
    <t>0.89-1.21</t>
  </si>
  <si>
    <t>Baseline positive symptoms, SD during 12 years since service</t>
  </si>
  <si>
    <t>0.76-1.31</t>
  </si>
  <si>
    <t>0.86-1.23</t>
  </si>
  <si>
    <t>Baseline affective symptoms, SD during 12 years since service</t>
  </si>
  <si>
    <t>0.83-1.26</t>
  </si>
  <si>
    <t>Premorbid occupational impairment (ref: not impaired), SD during 12 years since service</t>
  </si>
  <si>
    <t>0.85-3.45</t>
  </si>
  <si>
    <t>No. of suicide attempts during DUP, SD during 12 years since service</t>
  </si>
  <si>
    <t>1.18-1.86</t>
  </si>
  <si>
    <t>No. of suicide attempts (first 3 y), SD during 12 years since service</t>
  </si>
  <si>
    <t>1.30-2.78</t>
  </si>
  <si>
    <t>No. of hospitalization (first 3 y), SD during 12 years since service</t>
  </si>
  <si>
    <t>0.98-1.05</t>
  </si>
  <si>
    <t>No. of relapse (first 3 y), SD during 12 years since service</t>
  </si>
  <si>
    <t>0.95-1.43</t>
  </si>
  <si>
    <t>Adherence (first 3 y), SD during 12 years since service</t>
  </si>
  <si>
    <t>1.31-3.40</t>
  </si>
  <si>
    <t>Presence of substance abuse (ref: none), SD during 12 years since service</t>
  </si>
  <si>
    <t>0.32-1.53</t>
  </si>
  <si>
    <t>Mean defined daily dose, SD during 12 years since service</t>
  </si>
  <si>
    <t>0.67-1.45</t>
  </si>
  <si>
    <r>
      <t>Age at onset</t>
    </r>
    <r>
      <rPr>
        <sz val="11"/>
        <color rgb="FFFF0000"/>
        <rFont val="等线"/>
        <family val="3"/>
        <charset val="134"/>
        <scheme val="minor"/>
      </rPr>
      <t>, SD after 4-12 years since service</t>
    </r>
    <phoneticPr fontId="2" type="noConversion"/>
  </si>
  <si>
    <r>
      <t>Age at onset</t>
    </r>
    <r>
      <rPr>
        <sz val="11"/>
        <color rgb="FFFF0000"/>
        <rFont val="等线"/>
        <family val="3"/>
        <charset val="134"/>
        <scheme val="minor"/>
      </rPr>
      <t>, SD during 12 years since service</t>
    </r>
    <phoneticPr fontId="2" type="noConversion"/>
  </si>
  <si>
    <r>
      <t>Age at onset</t>
    </r>
    <r>
      <rPr>
        <sz val="11"/>
        <color rgb="FFFF0000"/>
        <rFont val="等线"/>
        <family val="3"/>
        <charset val="134"/>
        <scheme val="minor"/>
      </rPr>
      <t>, SD after 1-3 years since service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(Univariate Association)</t>
    </r>
    <phoneticPr fontId="2" type="noConversion"/>
  </si>
  <si>
    <t>&lt;0.05</t>
    <phoneticPr fontId="2" type="noConversion"/>
  </si>
  <si>
    <t>No. of hospitalization (first 3 y), SD after 4-12 years since service</t>
    <phoneticPr fontId="2" type="noConversion"/>
  </si>
  <si>
    <r>
      <t xml:space="preserve">Premorbid occupational impairment, SD after 4-12 years since service </t>
    </r>
    <r>
      <rPr>
        <b/>
        <sz val="11"/>
        <color theme="1"/>
        <rFont val="等线"/>
        <family val="3"/>
        <charset val="134"/>
        <scheme val="minor"/>
      </rPr>
      <t>(Multivariable Analysis)</t>
    </r>
    <phoneticPr fontId="2" type="noConversion"/>
  </si>
  <si>
    <t>Duration of untreated psychosis, d, SD after 1-3 years since service</t>
    <phoneticPr fontId="2" type="noConversion"/>
  </si>
  <si>
    <t>No. of suicide attempts during duration of untreated psychosis, SD after 1-3 years since service</t>
    <phoneticPr fontId="2" type="noConversion"/>
  </si>
  <si>
    <t>Baseline negative symptoms, SD during 12 years since service</t>
    <phoneticPr fontId="2" type="noConversion"/>
  </si>
  <si>
    <t>No. of suicide attempts during duration of untreated psychosis, SD during 12 years since service</t>
    <phoneticPr fontId="2" type="noConversion"/>
  </si>
  <si>
    <t>No. of suicide attempts, SD after 1-3 years since service</t>
    <phoneticPr fontId="2" type="noConversion"/>
  </si>
  <si>
    <t>No. of suicide attempts, SD during 12 years since service</t>
    <phoneticPr fontId="2" type="noConversion"/>
  </si>
  <si>
    <t>Adherence (first 3 y), SD after 4-12 years since service</t>
    <phoneticPr fontId="2" type="noConversion"/>
  </si>
  <si>
    <t>No. of relapses, SD after 4-12 years since service</t>
    <phoneticPr fontId="2" type="noConversion"/>
  </si>
  <si>
    <t>Adherence, SD after 4-12 years since service</t>
    <phoneticPr fontId="2" type="noConversion"/>
  </si>
  <si>
    <t>Adherence, SD during 12 years since service</t>
    <phoneticPr fontId="2" type="noConversion"/>
  </si>
  <si>
    <t>1.20-6.33</t>
    <phoneticPr fontId="2" type="noConversion"/>
  </si>
  <si>
    <t>1.10-1.96</t>
    <phoneticPr fontId="2" type="noConversion"/>
  </si>
  <si>
    <t>1.08-1.74</t>
    <phoneticPr fontId="2" type="noConversion"/>
  </si>
  <si>
    <t>1.22-2.55</t>
    <phoneticPr fontId="2" type="noConversion"/>
  </si>
  <si>
    <t>1.17-2.14</t>
    <phoneticPr fontId="2" type="noConversion"/>
  </si>
  <si>
    <t>1.01-1.72</t>
    <phoneticPr fontId="2" type="noConversion"/>
  </si>
  <si>
    <t>1.32-5.80</t>
    <phoneticPr fontId="2" type="noConversion"/>
  </si>
  <si>
    <t>1.44-4.01</t>
    <phoneticPr fontId="2" type="noConversion"/>
  </si>
  <si>
    <t>Ran MS 2007</t>
    <phoneticPr fontId="2" type="noConversion"/>
  </si>
  <si>
    <t>10.1192/bjp.bp.106.025155</t>
    <phoneticPr fontId="2" type="noConversion"/>
  </si>
  <si>
    <t>Age at onset &gt; 45 years</t>
  </si>
  <si>
    <t>4.9-17.1</t>
  </si>
  <si>
    <t>Duration of illness ≥ 10 years</t>
  </si>
  <si>
    <t>2.5-10.4</t>
  </si>
  <si>
    <t>Age &gt; 50 years</t>
  </si>
  <si>
    <t>2.5-9.1</t>
  </si>
  <si>
    <t>Physical illness</t>
  </si>
  <si>
    <t>1.8-4.2</t>
  </si>
  <si>
    <t>Inability to work</t>
  </si>
  <si>
    <t>1.4-3.3</t>
  </si>
  <si>
    <t>Male gender</t>
  </si>
  <si>
    <t>1.3-3.2</t>
  </si>
  <si>
    <t>Never received treatment</t>
  </si>
  <si>
    <t>1.0-2.4</t>
  </si>
  <si>
    <t>Without income</t>
  </si>
  <si>
    <t>0.9-2.6</t>
  </si>
  <si>
    <t>Family history of mental disorder</t>
  </si>
  <si>
    <t>0.9-2.5</t>
  </si>
  <si>
    <t>Married</t>
  </si>
  <si>
    <t>0.9-2.1</t>
  </si>
  <si>
    <t>Living in shabby or unstable house</t>
  </si>
  <si>
    <t>0.7-2.6</t>
  </si>
  <si>
    <t>Number of family members ≤ 3</t>
  </si>
  <si>
    <t>0.8-1.9</t>
  </si>
  <si>
    <t>Education ≤ 7 years</t>
  </si>
  <si>
    <t>0.7-2.1</t>
  </si>
  <si>
    <t>Family economic status below mean</t>
  </si>
  <si>
    <t>0.8-1.7</t>
  </si>
  <si>
    <t>With marked symptoms</t>
  </si>
  <si>
    <t>0.8-1.8</t>
  </si>
  <si>
    <t>Previous hospitalisation</t>
  </si>
  <si>
    <t>0.7-1.9</t>
  </si>
  <si>
    <t>Lives alone</t>
  </si>
  <si>
    <t>0.7-1.8</t>
  </si>
  <si>
    <t>Previous suicide attempts</t>
  </si>
  <si>
    <t>0.6-2.0</t>
  </si>
  <si>
    <t>Tiihonen J 2012</t>
    <phoneticPr fontId="2" type="noConversion"/>
  </si>
  <si>
    <t>10.1001/archgenpsychiatry.2011.1532</t>
    <phoneticPr fontId="2" type="noConversion"/>
  </si>
  <si>
    <t>current use of 2 or more antipsychotics</t>
    <phoneticPr fontId="2" type="noConversion"/>
  </si>
  <si>
    <t>0.32-2.34</t>
  </si>
  <si>
    <t>current antidepressant use</t>
  </si>
  <si>
    <t>0.03-0.77</t>
  </si>
  <si>
    <t>1.45-10.12</t>
  </si>
  <si>
    <t>current benzodiazepine use</t>
    <phoneticPr fontId="2" type="noConversion"/>
  </si>
  <si>
    <t>Crocq MA 2010</t>
    <phoneticPr fontId="2" type="noConversion"/>
  </si>
  <si>
    <t>10.1016/j.euroneuro.2010.09.001</t>
    <phoneticPr fontId="2" type="noConversion"/>
  </si>
  <si>
    <t>0.39-0.94</t>
  </si>
  <si>
    <t>0.44-1.02</t>
  </si>
  <si>
    <t>0.31-0.82</t>
  </si>
  <si>
    <t>0.35-0.92</t>
  </si>
  <si>
    <t>0.45-0.98</t>
  </si>
  <si>
    <t>0.51-1.07</t>
  </si>
  <si>
    <t>0.36-0.86</t>
  </si>
  <si>
    <t>0.41-0.95</t>
  </si>
  <si>
    <t>0.27-1.10</t>
  </si>
  <si>
    <t>0.33-1.23</t>
  </si>
  <si>
    <t>0.26-1.08</t>
  </si>
  <si>
    <t>0.31-1.23</t>
  </si>
  <si>
    <t>0.30-1.04</t>
  </si>
  <si>
    <t>0.35-1.15</t>
  </si>
  <si>
    <t>0.28-1.05</t>
  </si>
  <si>
    <t>0.33-1.17</t>
  </si>
  <si>
    <t>High-risk patients - ORT - MedDRA</t>
  </si>
  <si>
    <t>High-risk patients - ORT - C-CASA</t>
  </si>
  <si>
    <t>High-risk patients - ORT during first year of treatment - MedDRA</t>
  </si>
  <si>
    <t>High-risk patients - ORT during first year of treatment - C-CASA</t>
  </si>
  <si>
    <t>High-risk patients - WRT + 30 - MedDRA</t>
  </si>
  <si>
    <t>High-risk patients - WRT + 30 - C-CASA</t>
  </si>
  <si>
    <t>All patients - antipsychotic monotherapy (ORT) -  the Medical Dictionary for Regulatory Activitie (MedDRA)</t>
    <phoneticPr fontId="2" type="noConversion"/>
  </si>
  <si>
    <t>All patients - ORT - Columbia Classification Algorithm of Suicide Assessment (C-CASA)</t>
    <phoneticPr fontId="2" type="noConversion"/>
  </si>
  <si>
    <t>All patients - ORT during first year of treatment - C-CASA</t>
    <phoneticPr fontId="2" type="noConversion"/>
  </si>
  <si>
    <t>All patients - WRT + 30days - C-CASA</t>
    <phoneticPr fontId="2" type="noConversion"/>
  </si>
  <si>
    <t>All patients - ORT during first year of treatment - MedDRA</t>
    <phoneticPr fontId="2" type="noConversion"/>
  </si>
  <si>
    <t>All patients - WRT + 30days during first year of treatment - MedDRA</t>
    <phoneticPr fontId="2" type="noConversion"/>
  </si>
  <si>
    <t>All patients - WRT + 30days during first year of treatment - C-CASA</t>
    <phoneticPr fontId="2" type="noConversion"/>
  </si>
  <si>
    <t>High-risk patients - WRT + 30days during first year of treatment - MedDRA</t>
    <phoneticPr fontId="2" type="noConversion"/>
  </si>
  <si>
    <t>High-risk patients - WRT + 30days during first year of treatment - C-CASA</t>
    <phoneticPr fontId="2" type="noConversion"/>
  </si>
  <si>
    <t>All patients - Whole Randomized Period (WRT) + 30days - MedDRA</t>
    <phoneticPr fontId="2" type="noConversion"/>
  </si>
  <si>
    <r>
      <t xml:space="preserve">ORT </t>
    </r>
    <r>
      <rPr>
        <b/>
        <sz val="11"/>
        <color theme="1"/>
        <rFont val="等线"/>
        <family val="3"/>
        <charset val="134"/>
        <scheme val="minor"/>
      </rPr>
      <t>(Completed suicide and self-injurious behavior as classified by the Independent Safety Committee)</t>
    </r>
    <phoneticPr fontId="2" type="noConversion"/>
  </si>
  <si>
    <t>ORT during first year of treatment</t>
  </si>
  <si>
    <t>WRT + 30days</t>
  </si>
  <si>
    <t>WRT + 30days during first year of treatment</t>
  </si>
  <si>
    <t>0.60–1.25</t>
    <phoneticPr fontId="2" type="noConversion"/>
  </si>
  <si>
    <t>0.54–1.22</t>
    <phoneticPr fontId="2" type="noConversion"/>
  </si>
  <si>
    <t>0.66–1.28</t>
    <phoneticPr fontId="2" type="noConversion"/>
  </si>
  <si>
    <t>0.57–1.20</t>
  </si>
  <si>
    <r>
      <t>Sertindole vs Risperidone</t>
    </r>
    <r>
      <rPr>
        <b/>
        <sz val="11"/>
        <color theme="1"/>
        <rFont val="等线"/>
        <family val="3"/>
        <charset val="134"/>
        <scheme val="minor"/>
      </rPr>
      <t xml:space="preserve"> (Estimated Cox's proportional hazards model of suicide attempts (fatal and non-fatal) as reported by treating psychiatrists during the WRT + 30 day period)</t>
    </r>
    <phoneticPr fontId="2" type="noConversion"/>
  </si>
  <si>
    <t>Duration of schizophrenia (5 to 10 years as ref)</t>
    <phoneticPr fontId="2" type="noConversion"/>
  </si>
  <si>
    <t>Last suicide attempt &lt; 1 year prior to entry</t>
    <phoneticPr fontId="2" type="noConversion"/>
  </si>
  <si>
    <t>Last suicide attempt 1 to 5 year prior to entry</t>
    <phoneticPr fontId="2" type="noConversion"/>
  </si>
  <si>
    <t>Last suicide attempt &gt;5 year prior to entry</t>
    <phoneticPr fontId="2" type="noConversion"/>
  </si>
  <si>
    <t>Study accrual time</t>
    <phoneticPr fontId="2" type="noConversion"/>
  </si>
  <si>
    <t>0.45–0.98</t>
  </si>
  <si>
    <t>0.97–1.01</t>
  </si>
  <si>
    <t>0.73–1.58</t>
  </si>
  <si>
    <t>0.98–2.19</t>
  </si>
  <si>
    <t>8.95–24.56</t>
  </si>
  <si>
    <t>4.14–11.51</t>
    <phoneticPr fontId="2" type="noConversion"/>
  </si>
  <si>
    <t>1.46–5.70</t>
  </si>
  <si>
    <t>0.64–0.93</t>
  </si>
  <si>
    <t>Zaheer J 2020</t>
    <phoneticPr fontId="2" type="noConversion"/>
  </si>
  <si>
    <t>10.1016/j.schres.2020.04.025</t>
    <phoneticPr fontId="2" type="noConversion"/>
  </si>
  <si>
    <t>Sex M vs F</t>
    <phoneticPr fontId="2" type="noConversion"/>
  </si>
  <si>
    <t>1.76–2.27</t>
    <phoneticPr fontId="2" type="noConversion"/>
  </si>
  <si>
    <t>Age at diagnosis, 26–35 vs 16–25</t>
    <phoneticPr fontId="2" type="noConversion"/>
  </si>
  <si>
    <t>1.10–1.45</t>
    <phoneticPr fontId="2" type="noConversion"/>
  </si>
  <si>
    <t>Age at diagnosis, 36-45vs 16–25</t>
    <phoneticPr fontId="2" type="noConversion"/>
  </si>
  <si>
    <t>1.14–1.51</t>
    <phoneticPr fontId="2" type="noConversion"/>
  </si>
  <si>
    <t>Income quintile, 2nd vs 1st (lowest)</t>
    <phoneticPr fontId="2" type="noConversion"/>
  </si>
  <si>
    <t>0.75–1.04</t>
    <phoneticPr fontId="2" type="noConversion"/>
  </si>
  <si>
    <t>Income quintile, 3rd vs 1st</t>
    <phoneticPr fontId="2" type="noConversion"/>
  </si>
  <si>
    <t>0.85–1.18</t>
    <phoneticPr fontId="2" type="noConversion"/>
  </si>
  <si>
    <t>Income quintile, 4th vs 1st</t>
    <phoneticPr fontId="2" type="noConversion"/>
  </si>
  <si>
    <t>0.97–1.34</t>
    <phoneticPr fontId="2" type="noConversion"/>
  </si>
  <si>
    <t>Income quintile, 5th vs 1st</t>
    <phoneticPr fontId="2" type="noConversion"/>
  </si>
  <si>
    <t>0.96–1.35</t>
    <phoneticPr fontId="2" type="noConversion"/>
  </si>
  <si>
    <t>Rural vs urban</t>
    <phoneticPr fontId="2" type="noConversion"/>
  </si>
  <si>
    <t>0.81–1.18</t>
    <phoneticPr fontId="2" type="noConversion"/>
  </si>
  <si>
    <t>Aggregated Diagnosis Group (ADG) score</t>
    <phoneticPr fontId="2" type="noConversion"/>
  </si>
  <si>
    <t>0.98–1.02</t>
    <phoneticPr fontId="2" type="noConversion"/>
  </si>
  <si>
    <t>Alcohol use disorder diagnosis</t>
    <phoneticPr fontId="2" type="noConversion"/>
  </si>
  <si>
    <t>0.80–1.18</t>
    <phoneticPr fontId="2" type="noConversion"/>
  </si>
  <si>
    <t>Drug use disorder diagnosis</t>
    <phoneticPr fontId="2" type="noConversion"/>
  </si>
  <si>
    <t>1.05–1.41</t>
    <phoneticPr fontId="2" type="noConversion"/>
  </si>
  <si>
    <t>Mood disorder diagnosis</t>
    <phoneticPr fontId="2" type="noConversion"/>
  </si>
  <si>
    <t>1.17–1.50</t>
    <phoneticPr fontId="2" type="noConversion"/>
  </si>
  <si>
    <t>Personality disorder diagnosis</t>
    <phoneticPr fontId="2" type="noConversion"/>
  </si>
  <si>
    <t>0.82–1.10</t>
    <phoneticPr fontId="2" type="noConversion"/>
  </si>
  <si>
    <t>Any outpatient psychiatrist contact</t>
    <phoneticPr fontId="2" type="noConversion"/>
  </si>
  <si>
    <t>1.00–1.29</t>
    <phoneticPr fontId="2" type="noConversion"/>
  </si>
  <si>
    <t>Any mental health hospitalization</t>
    <phoneticPr fontId="2" type="noConversion"/>
  </si>
  <si>
    <t>1.13–1.49</t>
    <phoneticPr fontId="2" type="noConversion"/>
  </si>
  <si>
    <t>Any suicidal behaviour requiring emergency department or hospital care</t>
    <phoneticPr fontId="2" type="noConversion"/>
  </si>
  <si>
    <t>1.86–2.66</t>
    <phoneticPr fontId="2" type="noConversion"/>
  </si>
  <si>
    <r>
      <t>Female vs male</t>
    </r>
    <r>
      <rPr>
        <b/>
        <sz val="11"/>
        <color theme="1"/>
        <rFont val="等线"/>
        <family val="3"/>
        <charset val="134"/>
        <scheme val="minor"/>
      </rPr>
      <t xml:space="preserve"> (total sample)</t>
    </r>
    <phoneticPr fontId="2" type="noConversion"/>
  </si>
  <si>
    <t>1.12–1.53</t>
    <phoneticPr fontId="2" type="noConversion"/>
  </si>
  <si>
    <t>Age at diagnosis, 36–45 vs 16–25</t>
    <phoneticPr fontId="2" type="noConversion"/>
  </si>
  <si>
    <t>1.10–1.53</t>
    <phoneticPr fontId="2" type="noConversion"/>
  </si>
  <si>
    <t>0.75–1.09</t>
    <phoneticPr fontId="2" type="noConversion"/>
  </si>
  <si>
    <t>0.87–1.28</t>
    <phoneticPr fontId="2" type="noConversion"/>
  </si>
  <si>
    <t>0.94–1.98</t>
    <phoneticPr fontId="2" type="noConversion"/>
  </si>
  <si>
    <t>0.95–1.42</t>
    <phoneticPr fontId="2" type="noConversion"/>
  </si>
  <si>
    <t>0.79–1.23</t>
    <phoneticPr fontId="2" type="noConversion"/>
  </si>
  <si>
    <t>0.99–1.04</t>
    <phoneticPr fontId="2" type="noConversion"/>
  </si>
  <si>
    <t>0.76–1.14</t>
    <phoneticPr fontId="2" type="noConversion"/>
  </si>
  <si>
    <t>0.93–1.33</t>
    <phoneticPr fontId="2" type="noConversion"/>
  </si>
  <si>
    <t>1.15–1.54</t>
    <phoneticPr fontId="2" type="noConversion"/>
  </si>
  <si>
    <t>0.72–1.02</t>
    <phoneticPr fontId="2" type="noConversion"/>
  </si>
  <si>
    <t>0.94–1.25</t>
    <phoneticPr fontId="2" type="noConversion"/>
  </si>
  <si>
    <t>1.08–1.50</t>
    <phoneticPr fontId="2" type="noConversion"/>
  </si>
  <si>
    <t>1.72–2.70</t>
    <phoneticPr fontId="2" type="noConversion"/>
  </si>
  <si>
    <r>
      <t xml:space="preserve">Age at diagnosis, 26–35 vs 16–25 </t>
    </r>
    <r>
      <rPr>
        <b/>
        <sz val="11"/>
        <color theme="1"/>
        <rFont val="等线"/>
        <family val="3"/>
        <charset val="134"/>
        <scheme val="minor"/>
      </rPr>
      <t>(male individuals only)</t>
    </r>
    <phoneticPr fontId="2" type="noConversion"/>
  </si>
  <si>
    <t>0.88–1.56</t>
    <phoneticPr fontId="2" type="noConversion"/>
  </si>
  <si>
    <t>1.07–1.83</t>
    <phoneticPr fontId="2" type="noConversion"/>
  </si>
  <si>
    <t>0.62–1.12</t>
    <phoneticPr fontId="2" type="noConversion"/>
  </si>
  <si>
    <t>0.62–1.17</t>
    <phoneticPr fontId="2" type="noConversion"/>
  </si>
  <si>
    <t>0.84–1.55</t>
    <phoneticPr fontId="2" type="noConversion"/>
  </si>
  <si>
    <t>0.79–1.51</t>
    <phoneticPr fontId="2" type="noConversion"/>
  </si>
  <si>
    <t>0.66–1.37</t>
    <phoneticPr fontId="2" type="noConversion"/>
  </si>
  <si>
    <t>0.94–1.00</t>
    <phoneticPr fontId="2" type="noConversion"/>
  </si>
  <si>
    <t>0.73–1.46</t>
    <phoneticPr fontId="2" type="noConversion"/>
  </si>
  <si>
    <t>1.19–2.11</t>
    <phoneticPr fontId="2" type="noConversion"/>
  </si>
  <si>
    <t>1.02–1.67</t>
    <phoneticPr fontId="2" type="noConversion"/>
  </si>
  <si>
    <t>0.93–1.55</t>
    <phoneticPr fontId="2" type="noConversion"/>
  </si>
  <si>
    <t>1.02–1.73</t>
    <phoneticPr fontId="2" type="noConversion"/>
  </si>
  <si>
    <t>1.04–1.73</t>
    <phoneticPr fontId="2" type="noConversion"/>
  </si>
  <si>
    <t>1.61–2.96</t>
    <phoneticPr fontId="2" type="noConversion"/>
  </si>
  <si>
    <r>
      <t xml:space="preserve">Age at diagnosis, 26–35 vs 16–25 </t>
    </r>
    <r>
      <rPr>
        <b/>
        <sz val="11"/>
        <color theme="1"/>
        <rFont val="等线"/>
        <family val="3"/>
        <charset val="134"/>
        <scheme val="minor"/>
      </rPr>
      <t>(female individuals only)</t>
    </r>
    <phoneticPr fontId="2" type="noConversion"/>
  </si>
  <si>
    <t>Note</t>
    <phoneticPr fontId="2" type="noConversion"/>
  </si>
  <si>
    <t>Togay B 2015</t>
    <phoneticPr fontId="2" type="noConversion"/>
  </si>
  <si>
    <t>10.1016/j.psychres.2015.07.025</t>
  </si>
  <si>
    <r>
      <t>Baseline Brief Psychiatric Rating Scale (BPRS) depression subscale score</t>
    </r>
    <r>
      <rPr>
        <b/>
        <sz val="11"/>
        <color theme="1"/>
        <rFont val="等线"/>
        <family val="3"/>
        <charset val="134"/>
        <scheme val="minor"/>
      </rPr>
      <t xml:space="preserve"> (Variables related to suicide attempts before first admission in logistic regression analysis)</t>
    </r>
    <phoneticPr fontId="2" type="noConversion"/>
  </si>
  <si>
    <t>Alcohol use</t>
    <phoneticPr fontId="2" type="noConversion"/>
  </si>
  <si>
    <t>PAS–Peer relationships–Childhood</t>
    <phoneticPr fontId="2" type="noConversion"/>
  </si>
  <si>
    <t>DUP</t>
    <phoneticPr fontId="2" type="noConversion"/>
  </si>
  <si>
    <t>Baseline GAF score</t>
    <phoneticPr fontId="2" type="noConversion"/>
  </si>
  <si>
    <t>Gender</t>
    <phoneticPr fontId="2" type="noConversion"/>
  </si>
  <si>
    <t>Education (years)</t>
    <phoneticPr fontId="2" type="noConversion"/>
  </si>
  <si>
    <t>Stressful life events before admission</t>
    <phoneticPr fontId="2" type="noConversion"/>
  </si>
  <si>
    <t>Webb RT 2011</t>
    <phoneticPr fontId="2" type="noConversion"/>
  </si>
  <si>
    <t>10.1016/j.schres.2011.04.031</t>
  </si>
  <si>
    <t>1.18-1.59</t>
    <phoneticPr fontId="2" type="noConversion"/>
  </si>
  <si>
    <t>1.05-1.54</t>
    <phoneticPr fontId="2" type="noConversion"/>
  </si>
  <si>
    <t>1.67-2.58</t>
    <phoneticPr fontId="2" type="noConversion"/>
  </si>
  <si>
    <t>1.82-5.56</t>
    <phoneticPr fontId="2" type="noConversion"/>
  </si>
  <si>
    <t>Men/women</t>
    <phoneticPr fontId="2" type="noConversion"/>
  </si>
  <si>
    <t>30–39 years/40+ years</t>
    <phoneticPr fontId="2" type="noConversion"/>
  </si>
  <si>
    <t>20–29 years/40+ years</t>
    <phoneticPr fontId="2" type="noConversion"/>
  </si>
  <si>
    <t>15–19 years/40+ years</t>
    <phoneticPr fontId="2" type="noConversion"/>
  </si>
  <si>
    <t>0.58-0.86</t>
    <phoneticPr fontId="2" type="noConversion"/>
  </si>
  <si>
    <t>0.49-0.71</t>
    <phoneticPr fontId="2" type="noConversion"/>
  </si>
  <si>
    <t>Stratified by sex men</t>
    <phoneticPr fontId="2" type="noConversion"/>
  </si>
  <si>
    <t>Stratified by sex women</t>
    <phoneticPr fontId="2" type="noConversion"/>
  </si>
  <si>
    <t>Stratified by age 30+ yrs.</t>
    <phoneticPr fontId="2" type="noConversion"/>
  </si>
  <si>
    <t>Stratified by age &lt;30 yrs.</t>
    <phoneticPr fontId="2" type="noConversion"/>
  </si>
  <si>
    <t>Stratified by IQ (men only) low</t>
    <phoneticPr fontId="2" type="noConversion"/>
  </si>
  <si>
    <t>Stratified by IQ (men only) medium or high</t>
    <phoneticPr fontId="2" type="noConversion"/>
  </si>
  <si>
    <t>Stratified by IQ (men only) IQ missing</t>
    <phoneticPr fontId="2" type="noConversion"/>
  </si>
  <si>
    <t>Global IQ level: IQ missing / Medium (4–6) or high (7–9) (men only)</t>
    <phoneticPr fontId="2" type="noConversion"/>
  </si>
  <si>
    <t>Global IQ level: Low (1–3) / Medium (4–6) or high (7–10)(men only)</t>
    <phoneticPr fontId="2" type="noConversion"/>
  </si>
  <si>
    <r>
      <t xml:space="preserve">Stratified all cohort members </t>
    </r>
    <r>
      <rPr>
        <b/>
        <sz val="11"/>
        <color theme="1"/>
        <rFont val="等线"/>
        <family val="3"/>
        <charset val="134"/>
        <scheme val="minor"/>
      </rPr>
      <t>(RR for history of violent offending as a risk factor: main effect and effects)</t>
    </r>
    <phoneticPr fontId="2" type="noConversion"/>
  </si>
  <si>
    <t>1.21-1.73</t>
  </si>
  <si>
    <t>1.16-1.69</t>
  </si>
  <si>
    <t>0.43-1.76</t>
  </si>
  <si>
    <t>1.07-1.96</t>
  </si>
  <si>
    <t>1.16-1.80</t>
  </si>
  <si>
    <t>1.33-2.66</t>
  </si>
  <si>
    <t>0.79-1.51</t>
  </si>
  <si>
    <t>1.16-2.19</t>
  </si>
  <si>
    <t>clozapine, within-individual model</t>
  </si>
  <si>
    <t>clozapine, within-individual model</t>
    <phoneticPr fontId="2" type="noConversion"/>
  </si>
  <si>
    <t>risperidone LAI, within-individual model</t>
  </si>
  <si>
    <t>quetiapine, within-individual model</t>
  </si>
  <si>
    <t>risperidone, within-individual model</t>
  </si>
  <si>
    <t>perphenazine, within-individual model</t>
  </si>
  <si>
    <t>other oral, within-individual model</t>
  </si>
  <si>
    <t>other LAI, within-individual model</t>
  </si>
  <si>
    <t>zuclopenthixol LAI, within-individual model</t>
  </si>
  <si>
    <t>polytherapy, within-individual model</t>
  </si>
  <si>
    <t>aripiprazole, within-individual model</t>
  </si>
  <si>
    <t>haloperidol, within-individual model</t>
  </si>
  <si>
    <t>levomepromazine, within-individual model</t>
  </si>
  <si>
    <t>olanzapine, within-individual model</t>
  </si>
  <si>
    <t>Cohort</t>
    <phoneticPr fontId="2" type="noConversion"/>
  </si>
  <si>
    <t>Finnish</t>
    <phoneticPr fontId="2" type="noConversion"/>
  </si>
  <si>
    <t xml:space="preserve">Swedish </t>
    <phoneticPr fontId="2" type="noConversion"/>
  </si>
  <si>
    <t>SA/SD</t>
    <phoneticPr fontId="2" type="noConversion"/>
  </si>
  <si>
    <t>95% CI lower</t>
    <phoneticPr fontId="2" type="noConversion"/>
  </si>
  <si>
    <t>95% CI upper</t>
    <phoneticPr fontId="2" type="noConversion"/>
  </si>
  <si>
    <t>clozapine, within-individual model (The first 30 days have been censored from the beginning of each use period)</t>
  </si>
  <si>
    <t>risperidone LAI, within-individual model (The first 30 days have been censored from the beginning of each use period)</t>
  </si>
  <si>
    <t>quetiapine, within-individual model (The first 30 days have been censored from the beginning of each use period)</t>
  </si>
  <si>
    <t>olanzapine, within-individual model (The first 30 days have been censored from the beginning of each use period)</t>
  </si>
  <si>
    <t>risperidone, within-individual model (The first 30 days have been censored from the beginning of each use period)</t>
  </si>
  <si>
    <t>other LAI, within-individual model (The first 30 days have been censored from the beginning of each use period)</t>
  </si>
  <si>
    <t>other oral, within-individual model (The first 30 days have been censored from the beginning of each use period)</t>
  </si>
  <si>
    <t>perphenazine, within-individual model (The first 30 days have been censored from the beginning of each use period)</t>
  </si>
  <si>
    <t>polytherapy, within-individual model (The first 30 days have been censored from the beginning of each use period)</t>
  </si>
  <si>
    <t>zuclopenthixol LAI, within-individual model (The first 30 days have been censored from the beginning of each use period)</t>
  </si>
  <si>
    <t>aripiprazole, within-individual model (The first 30 days have been censored from the beginning of each use period)</t>
  </si>
  <si>
    <t>haloperidol, within-individual model (The first 30 days have been censored from the beginning of each use period)</t>
  </si>
  <si>
    <t>levomepromazine, within-individual model (The first 30 days have been censored from the beginning of each use period)</t>
  </si>
  <si>
    <t>clozapine, traditional between individual model</t>
  </si>
  <si>
    <t>risperidone LAI, traditional between individual model</t>
  </si>
  <si>
    <t>other LAI, traditional between individual model</t>
  </si>
  <si>
    <t>risperidone, traditional between individual model</t>
  </si>
  <si>
    <t>perphenazine, traditional between individual model</t>
  </si>
  <si>
    <t>olanzapine, traditional between individual model</t>
  </si>
  <si>
    <t>polytherapy, traditional between individual model</t>
  </si>
  <si>
    <t>other oral, traditional between individual model</t>
  </si>
  <si>
    <t>haloperidol, traditional between individual model</t>
  </si>
  <si>
    <t>zuclopenthixol LAI, traditional between individual model</t>
  </si>
  <si>
    <t>aripiprazole, traditional between individual model</t>
  </si>
  <si>
    <t>quetiapine, traditional between individual model</t>
  </si>
  <si>
    <t>levomepromazine, traditional between individual model</t>
  </si>
  <si>
    <t>olanzapine, within-individual model (The first 30 days have been censored from the beginning of each use period)</t>
    <phoneticPr fontId="2" type="noConversion"/>
  </si>
  <si>
    <t>clozapine, traditional between individual model (The first 30 days have been censored from the beginning of each use period)</t>
  </si>
  <si>
    <t>risperidone LAI, traditional between individual model (The first 30 days have been censored from the beginning of each use period)</t>
  </si>
  <si>
    <t>other LAI, traditional between individual model (The first 30 days have been censored from the beginning of each use period)</t>
  </si>
  <si>
    <t>risperidone, traditional between individual model (The first 30 days have been censored from the beginning of each use period)</t>
  </si>
  <si>
    <t>perphenazine, traditional between individual model (The first 30 days have been censored from the beginning of each use period)</t>
  </si>
  <si>
    <t>olanzapine, traditional between individual model (The first 30 days have been censored from the beginning of each use period)</t>
  </si>
  <si>
    <t>other oral, traditional between individual model (The first 30 days have been censored from the beginning of each use period)</t>
  </si>
  <si>
    <t>polytherapy, traditional between individual model (The first 30 days have been censored from the beginning of each use period)</t>
  </si>
  <si>
    <t>haloperidol, traditional between individual model (The first 30 days have been censored from the beginning of each use period)</t>
  </si>
  <si>
    <t>zuclopenthixol LAI, traditional between individual model (The first 30 days have been censored from the beginning of each use period)</t>
  </si>
  <si>
    <t>aripiprazole, traditional between individual model (The first 30 days have been censored from the beginning of each use period)</t>
  </si>
  <si>
    <t>quetiapine, traditional between individual model (The first 30 days have been censored from the beginning of each use period)</t>
  </si>
  <si>
    <t>levomepromazine, traditional between individual model (The first 30 days have been censored from the beginning of each use period)</t>
  </si>
  <si>
    <t>clozapine, within-individual model among ever users of olanzapine (with olanzapine as a reference)</t>
  </si>
  <si>
    <t>risperidone LAI, within-individual model among ever users of olanzapine (with olanzapine as a reference)</t>
  </si>
  <si>
    <t>quetiapine, within-individual model among ever users of olanzapine (with olanzapine as a reference)</t>
  </si>
  <si>
    <t>other LAI, within-individual model among ever users of olanzapine (with olanzapine as a reference)</t>
  </si>
  <si>
    <t>risperidone, within-individual model among ever users of olanzapine (with olanzapine as a reference)</t>
  </si>
  <si>
    <t>zuclopenthixol LAI, within-individual model among ever users of olanzapine (with olanzapine as a reference)</t>
  </si>
  <si>
    <t>other oral, within-individual model among ever users of olanzapine (with olanzapine as a reference)</t>
  </si>
  <si>
    <t>polytherapy, within-individual model among ever users of olanzapine (with olanzapine as a reference)</t>
  </si>
  <si>
    <t>haloperidol, within-individual model among ever users of olanzapine (with olanzapine as a reference)</t>
  </si>
  <si>
    <t>aripiprazole, within-individual model among ever users of olanzapine (with olanzapine as a reference)</t>
  </si>
  <si>
    <t>levomepromazine, within-individual model among ever users of olanzapine (with olanzapine as a reference)</t>
  </si>
  <si>
    <t>perphenazine, within-individual model among ever users of olanzapine (with olanzapine as a reference)</t>
  </si>
  <si>
    <t>haloperidol, within-individual model among ever users of olanzapine (with olanzapine as a reference)</t>
    <phoneticPr fontId="2" type="noConversion"/>
  </si>
  <si>
    <t>Lithium, within-individual model</t>
  </si>
  <si>
    <t>Antidepressants, within-individual model</t>
  </si>
  <si>
    <t>Mood stabilizers, within-individual model</t>
  </si>
  <si>
    <t>Benzodiazepines, within-individual model</t>
  </si>
  <si>
    <t>Z-drugs, within-individual model</t>
  </si>
  <si>
    <t>levomepromazine, traditional between individual model (The first 30 days have been censored from the beginning of each use period)</t>
    <phoneticPr fontId="2" type="noConversion"/>
  </si>
  <si>
    <t>Lithium, within-individual model (The first 30 days have been censored from the beginning of each use period)</t>
  </si>
  <si>
    <t>Antidepressants, within-individual model (The first 30 days have been censored from the beginning of each use period)</t>
  </si>
  <si>
    <t>Mood stabilizers, within-individual model (The first 30 days have been censored from the beginning of each use period)</t>
  </si>
  <si>
    <t>Benzodiazepines, within-individual model (The first 30 days have been censored from the beginning of each use period)</t>
  </si>
  <si>
    <t>Z-drugs, within-individual model (The first 30 days have been censored from the beginning of each use period)</t>
  </si>
  <si>
    <t>Tang CH 2021</t>
    <phoneticPr fontId="2" type="noConversion"/>
  </si>
  <si>
    <t>Taipale H 2021</t>
    <phoneticPr fontId="2" type="noConversion"/>
  </si>
  <si>
    <t>10.1192/j.eurpsy.2021.2258</t>
  </si>
  <si>
    <t>10.1093/schbul/sbaa111</t>
  </si>
  <si>
    <t>(All data see excel sheet 8)</t>
    <phoneticPr fontId="2" type="noConversion"/>
  </si>
  <si>
    <t>The reference is no antipsychotic use if not mentioned</t>
    <phoneticPr fontId="2" type="noConversion"/>
  </si>
  <si>
    <t>0.346-1.293</t>
    <phoneticPr fontId="2" type="noConversion"/>
  </si>
  <si>
    <t>0.323-2.669</t>
    <phoneticPr fontId="2" type="noConversion"/>
  </si>
  <si>
    <t>0.210-1.291</t>
    <phoneticPr fontId="2" type="noConversion"/>
  </si>
  <si>
    <t>0.048-0.925</t>
    <phoneticPr fontId="2" type="noConversion"/>
  </si>
  <si>
    <t>0.248-14.651</t>
    <phoneticPr fontId="2" type="noConversion"/>
  </si>
  <si>
    <t>0.243-1.284</t>
    <phoneticPr fontId="2" type="noConversion"/>
  </si>
  <si>
    <t>0.528-1.675</t>
    <phoneticPr fontId="2" type="noConversion"/>
  </si>
  <si>
    <t>0.106-0.711</t>
    <phoneticPr fontId="2" type="noConversion"/>
  </si>
  <si>
    <t>0.094-5.589</t>
    <phoneticPr fontId="2" type="noConversion"/>
  </si>
  <si>
    <t>0.099-5.721</t>
    <phoneticPr fontId="2" type="noConversion"/>
  </si>
  <si>
    <t>0.279-1.400</t>
    <phoneticPr fontId="2" type="noConversion"/>
  </si>
  <si>
    <t>0.369-1.747</t>
    <phoneticPr fontId="2" type="noConversion"/>
  </si>
  <si>
    <t>0.360-2.770</t>
    <phoneticPr fontId="2" type="noConversion"/>
  </si>
  <si>
    <t>0.044-2.540</t>
    <phoneticPr fontId="2" type="noConversion"/>
  </si>
  <si>
    <t>Risperidone (Oral AP)</t>
    <phoneticPr fontId="2" type="noConversion"/>
  </si>
  <si>
    <t>Haloperidol (Oral AP)</t>
    <phoneticPr fontId="2" type="noConversion"/>
  </si>
  <si>
    <t>Lurasidone (Oral AP)</t>
    <phoneticPr fontId="2" type="noConversion"/>
  </si>
  <si>
    <t>Zotepine (Oral AP)</t>
    <phoneticPr fontId="2" type="noConversion"/>
  </si>
  <si>
    <t>Aripiprazole (Oral AP)</t>
    <phoneticPr fontId="2" type="noConversion"/>
  </si>
  <si>
    <t>Quetiapine (Oral AP)</t>
    <phoneticPr fontId="2" type="noConversion"/>
  </si>
  <si>
    <t>Olanzapine (Oral AP)</t>
    <phoneticPr fontId="2" type="noConversion"/>
  </si>
  <si>
    <t>Amisulpride (Oral AP)</t>
    <phoneticPr fontId="2" type="noConversion"/>
  </si>
  <si>
    <t>PP3M (Atypical LAI)</t>
    <phoneticPr fontId="2" type="noConversion"/>
  </si>
  <si>
    <t>Risperidone (Atypical LAI)</t>
    <phoneticPr fontId="2" type="noConversion"/>
  </si>
  <si>
    <t>Haloperidol (Typical LAI)</t>
    <phoneticPr fontId="2" type="noConversion"/>
  </si>
  <si>
    <t>Clopenthixol (Typical LAI)</t>
    <phoneticPr fontId="2" type="noConversion"/>
  </si>
  <si>
    <t>Flupenthixol (Typical LAI)</t>
    <phoneticPr fontId="2" type="noConversion"/>
  </si>
  <si>
    <r>
      <t>PP1M (Atypical LAI)</t>
    </r>
    <r>
      <rPr>
        <b/>
        <sz val="11"/>
        <color theme="1"/>
        <rFont val="等线"/>
        <family val="3"/>
        <charset val="134"/>
        <scheme val="minor"/>
      </rPr>
      <t xml:space="preserve"> (all antipsychotic users compared with oral paliperidone using a Cox regression model.)</t>
    </r>
    <phoneticPr fontId="2" type="noConversion"/>
  </si>
  <si>
    <t>schizophrenia w/ vs w/o frequent insomnia (Cox regression model)</t>
    <phoneticPr fontId="2" type="noConversion"/>
  </si>
  <si>
    <t>age</t>
    <phoneticPr fontId="2" type="noConversion"/>
  </si>
  <si>
    <t>gender</t>
    <phoneticPr fontId="2" type="noConversion"/>
  </si>
  <si>
    <t>comorbidity</t>
    <phoneticPr fontId="2" type="noConversion"/>
  </si>
  <si>
    <t>pharmacotherapy</t>
  </si>
  <si>
    <t>psychological risk factors</t>
  </si>
  <si>
    <t>Is substance use a kind of psychotic symptoms?</t>
    <phoneticPr fontId="2" type="noConversion"/>
  </si>
  <si>
    <t>This is kind of different: it studies the relationship between SI, SA and SD. Can I categorize it as "psychotic symptoms"?</t>
    <phoneticPr fontId="2" type="noConversion"/>
  </si>
  <si>
    <t>psychological risk factors</t>
    <phoneticPr fontId="2" type="noConversion"/>
  </si>
  <si>
    <t>"Individuals in the stable suicidal ideation trajectory tended to have suicidal thoughts and behaviours at 10-year follow-up. Individuals with a worsening suicidal trajectory were at a higher risk of death by suicide between 2 and 10 years."</t>
    <phoneticPr fontId="2" type="noConversion"/>
  </si>
  <si>
    <t>psychological risk factors+geographics</t>
    <phoneticPr fontId="2" type="noConversion"/>
  </si>
  <si>
    <t>comparison b/w different suicide risk</t>
    <phoneticPr fontId="2" type="noConversion"/>
  </si>
  <si>
    <t>How to define GAF?</t>
    <phoneticPr fontId="2" type="noConversion"/>
  </si>
  <si>
    <t>psychotherapy</t>
  </si>
  <si>
    <t>are these two proper?</t>
    <phoneticPr fontId="2" type="noConversion"/>
  </si>
  <si>
    <t>demographics</t>
    <phoneticPr fontId="2" type="noConversion"/>
  </si>
  <si>
    <t>hospitalization/teatment</t>
    <phoneticPr fontId="2" type="noConversion"/>
  </si>
  <si>
    <t>Do not sure whether hospitalization is a physical/psycological factor?</t>
    <phoneticPr fontId="2" type="noConversion"/>
  </si>
  <si>
    <t>ethnicity</t>
    <phoneticPr fontId="2" type="noConversion"/>
  </si>
  <si>
    <t>Is this right?</t>
    <phoneticPr fontId="2" type="noConversion"/>
  </si>
  <si>
    <t>same</t>
    <phoneticPr fontId="2" type="noConversion"/>
  </si>
  <si>
    <t>characteristics about schizophrenia</t>
    <phoneticPr fontId="2" type="noConversion"/>
  </si>
  <si>
    <t>"Marked symptoms were defined according to the assessment of the PSE."?</t>
    <phoneticPr fontId="2" type="noConversion"/>
  </si>
  <si>
    <t>these variables are repeated 3 times: first all population, then female &amp; male separately</t>
    <phoneticPr fontId="2" type="noConversion"/>
  </si>
  <si>
    <t>Do we want to do something here to address the gender difference?</t>
    <phoneticPr fontId="2" type="noConversion"/>
  </si>
  <si>
    <r>
      <t xml:space="preserve">Any inpatient admission </t>
    </r>
    <r>
      <rPr>
        <b/>
        <sz val="11"/>
        <color theme="1"/>
        <rFont val="等线"/>
        <family val="3"/>
        <charset val="134"/>
        <scheme val="minor"/>
      </rPr>
      <t>(use of acute health services)</t>
    </r>
    <phoneticPr fontId="2" type="noConversion"/>
  </si>
  <si>
    <t>race</t>
    <phoneticPr fontId="2" type="noConversion"/>
  </si>
  <si>
    <t>geographics</t>
  </si>
  <si>
    <t>OR calculated</t>
    <phoneticPr fontId="2" type="noConversion"/>
  </si>
  <si>
    <t>all HR calculated</t>
    <phoneticPr fontId="2" type="noConversion"/>
  </si>
  <si>
    <r>
      <t xml:space="preserve">Gender (males) </t>
    </r>
    <r>
      <rPr>
        <b/>
        <sz val="11"/>
        <color theme="1"/>
        <rFont val="等线"/>
        <family val="3"/>
        <charset val="134"/>
        <scheme val="minor"/>
      </rPr>
      <t>(Full risk assessment)</t>
    </r>
    <phoneticPr fontId="2" type="noConversion"/>
  </si>
  <si>
    <t>0.61–3.95</t>
    <phoneticPr fontId="2" type="noConversion"/>
  </si>
  <si>
    <t>0.38-0.4</t>
    <phoneticPr fontId="2" type="noConversion"/>
  </si>
  <si>
    <t>0.94-0.99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</si>
</sst>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_);[Red]\(0.000\)"/>
    <numFmt numFmtId="178" formatCode="0.00_ 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F1F1F"/>
      <name val="Cambria Math"/>
      <family val="1"/>
    </font>
    <font>
      <sz val="11"/>
      <color theme="1"/>
      <name val="Cambria Math"/>
      <family val="1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color rgb="FF333333"/>
      <name val="Arial"/>
      <family val="2"/>
    </font>
    <font>
      <b/>
      <sz val="11"/>
      <color rgb="FF3F3F76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Georgia"/>
      <family val="1"/>
    </font>
    <font>
      <sz val="11"/>
      <color theme="1"/>
      <name val="等线"/>
      <family val="1"/>
      <scheme val="minor"/>
    </font>
    <font>
      <b/>
      <sz val="11"/>
      <color rgb="FF333333"/>
      <name val="Segoe UI"/>
      <family val="2"/>
    </font>
    <font>
      <sz val="11"/>
      <color rgb="FF1B1B1B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E6E6E6"/>
        <bgColor indexed="64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A6A6A6"/>
      </left>
      <right/>
      <top style="thick">
        <color rgb="FFD5D5D5"/>
      </top>
      <bottom style="medium">
        <color rgb="FFA6A6A6"/>
      </bottom>
      <diagonal/>
    </border>
    <border>
      <left/>
      <right/>
      <top style="thick">
        <color rgb="FFD5D5D5"/>
      </top>
      <bottom style="medium">
        <color rgb="FFA6A6A6"/>
      </bottom>
      <diagonal/>
    </border>
    <border>
      <left/>
      <right style="thick">
        <color rgb="FFD5D5D5"/>
      </right>
      <top style="thick">
        <color rgb="FFD5D5D5"/>
      </top>
      <bottom style="medium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7" fillId="2" borderId="1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7" fillId="5" borderId="6" applyNumberFormat="0" applyFont="0" applyAlignment="0" applyProtection="0">
      <alignment vertical="center"/>
    </xf>
  </cellStyleXfs>
  <cellXfs count="4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/>
    <xf numFmtId="0" fontId="8" fillId="3" borderId="2" xfId="2" applyAlignment="1"/>
    <xf numFmtId="0" fontId="10" fillId="2" borderId="1" xfId="1" applyFont="1" applyAlignment="1"/>
    <xf numFmtId="0" fontId="4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/>
    <xf numFmtId="176" fontId="0" fillId="0" borderId="0" xfId="0" applyNumberFormat="1" applyAlignment="1">
      <alignment horizontal="right" vertical="center" wrapText="1"/>
    </xf>
    <xf numFmtId="176" fontId="0" fillId="0" borderId="0" xfId="0" applyNumberFormat="1"/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/>
    </xf>
    <xf numFmtId="176" fontId="8" fillId="3" borderId="2" xfId="2" applyNumberFormat="1" applyAlignment="1"/>
    <xf numFmtId="177" fontId="0" fillId="0" borderId="0" xfId="0" applyNumberFormat="1"/>
    <xf numFmtId="177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 wrapText="1"/>
    </xf>
    <xf numFmtId="177" fontId="8" fillId="3" borderId="2" xfId="2" applyNumberFormat="1" applyAlignment="1"/>
    <xf numFmtId="177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 vertical="center"/>
    </xf>
    <xf numFmtId="178" fontId="8" fillId="3" borderId="2" xfId="2" applyNumberFormat="1" applyAlignment="1"/>
    <xf numFmtId="178" fontId="0" fillId="0" borderId="0" xfId="0" applyNumberFormat="1" applyAlignment="1">
      <alignment horizontal="right" vertical="center" wrapText="1"/>
    </xf>
    <xf numFmtId="178" fontId="0" fillId="0" borderId="0" xfId="0" applyNumberFormat="1" applyAlignment="1">
      <alignment vertical="center"/>
    </xf>
    <xf numFmtId="0" fontId="0" fillId="5" borderId="6" xfId="3" applyFont="1" applyAlignment="1"/>
    <xf numFmtId="178" fontId="13" fillId="0" borderId="0" xfId="0" applyNumberFormat="1" applyFont="1" applyAlignment="1">
      <alignment horizontal="right"/>
    </xf>
    <xf numFmtId="0" fontId="6" fillId="0" borderId="0" xfId="0" applyFont="1"/>
    <xf numFmtId="0" fontId="5" fillId="0" borderId="0" xfId="0" applyFont="1"/>
    <xf numFmtId="0" fontId="0" fillId="6" borderId="0" xfId="0" applyFill="1"/>
    <xf numFmtId="0" fontId="14" fillId="4" borderId="3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left" vertical="center" wrapText="1"/>
    </xf>
  </cellXfs>
  <cellStyles count="4">
    <cellStyle name="常规" xfId="0" builtinId="0"/>
    <cellStyle name="输出" xfId="2" builtinId="21"/>
    <cellStyle name="输入" xfId="1" builtinId="20"/>
    <cellStyle name="注释" xfId="3" builtinId="10"/>
  </cellStyles>
  <dxfs count="0"/>
  <tableStyles count="0" defaultTableStyle="TableStyleMedium2" defaultPivotStyle="PivotStyleLight16"/>
  <colors>
    <mruColors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ng, Jiawei" id="{6043C2BA-6E46-4595-B8D6-89A4890937B5}" userId="S::jiawei.wang.1@vanderbilt.edu::6aa4f3d4-2805-4bfb-9334-9cd2ce8cdb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9-10T03:04:22.05" personId="{6043C2BA-6E46-4595-B8D6-89A4890937B5}" id="{A7632739-E03D-4BA4-BE67-FC5A4A0B76AF}">
    <text>Stratification issue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9" dT="2025-09-10T03:42:00.71" personId="{6043C2BA-6E46-4595-B8D6-89A4890937B5}" id="{FD50CA64-62EC-41C0-9E2A-EBFE932F46FC}">
    <text>Is this psychological risk factors or hospitalization/teatment?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6" dT="2025-09-10T03:55:47.72" personId="{6043C2BA-6E46-4595-B8D6-89A4890937B5}" id="{D5D7CEBB-AF86-4DBB-8920-57AAE4EDA767}">
    <text>Is this psychological risk factors or hospitalization/teatment?</text>
  </threadedComment>
  <threadedComment ref="B37" dT="2025-09-10T03:55:52.76" personId="{6043C2BA-6E46-4595-B8D6-89A4890937B5}" id="{E4D1AB9A-4706-4D3C-9A4E-DF9E44C8614E}">
    <text>Is this psychological risk factors or hospitalization/teatment?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48" dT="2025-09-10T13:52:23.66" personId="{6043C2BA-6E46-4595-B8D6-89A4890937B5}" id="{DCB0FC7E-7E8B-4C6D-8902-1031F9DC0E8F}">
    <text>Is adherence psychological risk factors or hospitalization/teatment?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5-09-10T14:06:20.99" personId="{6043C2BA-6E46-4595-B8D6-89A4890937B5}" id="{6FB76547-1409-418E-A258-4A68CD2038B9}">
    <text>Just realized that this article is about First-Admission Psychosis, not exactly schizophrenia</text>
  </threadedComment>
  <threadedComment ref="B28" dT="2025-09-10T14:08:37.98" personId="{6043C2BA-6E46-4595-B8D6-89A4890937B5}" id="{6EE133B5-509C-41A8-85AE-D31A6FDEC21F}">
    <text>Is this psychological risk factors?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6"/>
  <sheetViews>
    <sheetView tabSelected="1" zoomScaleNormal="100" workbookViewId="0">
      <selection activeCell="C12" sqref="C12"/>
    </sheetView>
  </sheetViews>
  <sheetFormatPr defaultRowHeight="14.25" x14ac:dyDescent="0.2"/>
  <cols>
    <col min="1" max="1" width="20.25" customWidth="1"/>
    <col min="2" max="2" width="7.125" customWidth="1"/>
    <col min="3" max="4" width="15.375" customWidth="1"/>
    <col min="5" max="5" width="49" customWidth="1"/>
    <col min="6" max="6" width="33" customWidth="1"/>
    <col min="7" max="7" width="10.75" customWidth="1"/>
    <col min="8" max="8" width="13.25" customWidth="1"/>
    <col min="9" max="9" width="15.25" customWidth="1"/>
    <col min="10" max="10" width="8.25" style="32" customWidth="1"/>
    <col min="11" max="11" width="12.375" customWidth="1"/>
    <col min="12" max="12" width="12" customWidth="1"/>
    <col min="13" max="13" width="12.25" style="21" customWidth="1"/>
    <col min="14" max="14" width="17.25" customWidth="1"/>
    <col min="15" max="15" width="10" style="25" customWidth="1"/>
    <col min="20" max="20" width="12.125" bestFit="1" customWidth="1"/>
    <col min="21" max="21" width="11" bestFit="1" customWidth="1"/>
  </cols>
  <sheetData>
    <row r="1" spans="1:19" x14ac:dyDescent="0.2">
      <c r="A1" t="s">
        <v>4</v>
      </c>
      <c r="B1" t="s">
        <v>69</v>
      </c>
      <c r="C1" t="s">
        <v>9</v>
      </c>
      <c r="D1" t="s">
        <v>338</v>
      </c>
      <c r="E1" s="11" t="s">
        <v>3</v>
      </c>
      <c r="F1" s="11"/>
      <c r="G1" s="11"/>
      <c r="H1" t="s">
        <v>5</v>
      </c>
      <c r="I1" t="s">
        <v>61</v>
      </c>
      <c r="J1" s="32" t="s">
        <v>88</v>
      </c>
      <c r="K1" t="s">
        <v>89</v>
      </c>
      <c r="L1" t="s">
        <v>0</v>
      </c>
      <c r="M1" s="21" t="s">
        <v>1</v>
      </c>
      <c r="N1" t="s">
        <v>62</v>
      </c>
      <c r="O1" s="25" t="s">
        <v>2</v>
      </c>
      <c r="P1" t="s">
        <v>1011</v>
      </c>
    </row>
    <row r="2" spans="1:19" x14ac:dyDescent="0.2">
      <c r="A2" t="s">
        <v>7</v>
      </c>
      <c r="B2" t="s">
        <v>70</v>
      </c>
      <c r="C2" t="s">
        <v>8</v>
      </c>
      <c r="D2">
        <v>1611</v>
      </c>
      <c r="E2" s="11" t="s">
        <v>11</v>
      </c>
      <c r="F2" t="s">
        <v>1174</v>
      </c>
      <c r="H2" t="s">
        <v>86</v>
      </c>
      <c r="I2" t="s">
        <v>12</v>
      </c>
      <c r="J2" s="33">
        <v>0.52</v>
      </c>
      <c r="K2" t="s">
        <v>16</v>
      </c>
      <c r="L2" s="2" t="s">
        <v>14</v>
      </c>
      <c r="M2" s="21">
        <v>0.1152</v>
      </c>
      <c r="N2" t="s">
        <v>16</v>
      </c>
      <c r="O2" s="25">
        <v>4.0000000000000001E-3</v>
      </c>
    </row>
    <row r="3" spans="1:19" x14ac:dyDescent="0.2">
      <c r="E3" s="11" t="s">
        <v>10</v>
      </c>
      <c r="F3" t="s">
        <v>1174</v>
      </c>
      <c r="H3" t="s">
        <v>86</v>
      </c>
      <c r="I3" t="s">
        <v>12</v>
      </c>
      <c r="J3" s="33">
        <v>0.66</v>
      </c>
      <c r="K3" t="s">
        <v>16</v>
      </c>
      <c r="L3" s="9" t="s">
        <v>15</v>
      </c>
      <c r="M3" s="21">
        <v>0.16309999999999999</v>
      </c>
      <c r="N3" t="s">
        <v>16</v>
      </c>
      <c r="O3" s="25">
        <v>9.9000000000000005E-2</v>
      </c>
    </row>
    <row r="4" spans="1:19" x14ac:dyDescent="0.2">
      <c r="A4" t="s">
        <v>17</v>
      </c>
      <c r="B4" t="s">
        <v>71</v>
      </c>
      <c r="C4" s="6" t="s">
        <v>16</v>
      </c>
      <c r="D4" s="6">
        <v>62250</v>
      </c>
      <c r="E4" s="12" t="s">
        <v>37</v>
      </c>
      <c r="F4" t="s">
        <v>1174</v>
      </c>
      <c r="H4" t="s">
        <v>86</v>
      </c>
      <c r="I4" t="s">
        <v>336</v>
      </c>
      <c r="J4" s="34">
        <v>0.21</v>
      </c>
      <c r="K4" t="s">
        <v>16</v>
      </c>
      <c r="L4" s="2" t="s">
        <v>38</v>
      </c>
      <c r="M4" s="23">
        <v>0.2089</v>
      </c>
      <c r="N4" t="s">
        <v>8</v>
      </c>
      <c r="O4" s="27">
        <v>0.1166</v>
      </c>
    </row>
    <row r="5" spans="1:19" x14ac:dyDescent="0.2">
      <c r="A5" s="5"/>
      <c r="B5" s="5"/>
      <c r="C5" s="5"/>
      <c r="D5" s="5"/>
      <c r="E5" s="12" t="s">
        <v>18</v>
      </c>
      <c r="F5" t="s">
        <v>1174</v>
      </c>
      <c r="H5" t="s">
        <v>86</v>
      </c>
      <c r="I5" t="s">
        <v>336</v>
      </c>
      <c r="J5" s="34">
        <v>0.21</v>
      </c>
      <c r="K5" t="s">
        <v>16</v>
      </c>
      <c r="L5" s="2" t="s">
        <v>39</v>
      </c>
      <c r="M5" s="23">
        <v>3.5299999999999998E-2</v>
      </c>
      <c r="N5" t="s">
        <v>8</v>
      </c>
      <c r="O5" s="27">
        <v>0</v>
      </c>
    </row>
    <row r="6" spans="1:19" x14ac:dyDescent="0.2">
      <c r="E6" s="12" t="s">
        <v>19</v>
      </c>
      <c r="F6" t="s">
        <v>1174</v>
      </c>
      <c r="H6" t="s">
        <v>86</v>
      </c>
      <c r="I6" t="s">
        <v>336</v>
      </c>
      <c r="J6" s="34">
        <v>0.35</v>
      </c>
      <c r="K6" t="s">
        <v>16</v>
      </c>
      <c r="L6" s="2" t="s">
        <v>40</v>
      </c>
      <c r="M6" s="23">
        <v>0.34860000000000002</v>
      </c>
      <c r="N6" t="s">
        <v>8</v>
      </c>
      <c r="O6" s="27">
        <v>0.2918</v>
      </c>
    </row>
    <row r="7" spans="1:19" x14ac:dyDescent="0.2">
      <c r="E7" s="12" t="s">
        <v>20</v>
      </c>
      <c r="F7" t="s">
        <v>1174</v>
      </c>
      <c r="H7" t="s">
        <v>86</v>
      </c>
      <c r="I7" t="s">
        <v>336</v>
      </c>
      <c r="J7" s="34">
        <v>0.41</v>
      </c>
      <c r="K7" t="s">
        <v>16</v>
      </c>
      <c r="L7" s="2" t="s">
        <v>41</v>
      </c>
      <c r="M7" s="23">
        <v>4.5499999999999999E-2</v>
      </c>
      <c r="N7" t="s">
        <v>8</v>
      </c>
      <c r="O7" s="27">
        <v>0</v>
      </c>
    </row>
    <row r="8" spans="1:19" x14ac:dyDescent="0.2">
      <c r="E8" s="12" t="s">
        <v>21</v>
      </c>
      <c r="F8" t="s">
        <v>1174</v>
      </c>
      <c r="H8" t="s">
        <v>86</v>
      </c>
      <c r="I8" t="s">
        <v>336</v>
      </c>
      <c r="J8" s="34">
        <v>0.43</v>
      </c>
      <c r="K8" t="s">
        <v>16</v>
      </c>
      <c r="L8" s="2" t="s">
        <v>42</v>
      </c>
      <c r="M8" s="23">
        <v>9.4100000000000003E-2</v>
      </c>
      <c r="N8" t="s">
        <v>8</v>
      </c>
      <c r="O8" s="27">
        <v>1E-4</v>
      </c>
    </row>
    <row r="9" spans="1:19" x14ac:dyDescent="0.2">
      <c r="E9" s="12" t="s">
        <v>22</v>
      </c>
      <c r="F9" t="s">
        <v>1174</v>
      </c>
      <c r="H9" t="s">
        <v>86</v>
      </c>
      <c r="I9" t="s">
        <v>336</v>
      </c>
      <c r="J9" s="34">
        <v>0.44</v>
      </c>
      <c r="K9" t="s">
        <v>16</v>
      </c>
      <c r="L9" s="2" t="s">
        <v>43</v>
      </c>
      <c r="M9" s="23">
        <v>0.13930000000000001</v>
      </c>
      <c r="N9" t="s">
        <v>8</v>
      </c>
      <c r="O9" s="27">
        <v>9.4999999999999998E-3</v>
      </c>
    </row>
    <row r="10" spans="1:19" x14ac:dyDescent="0.2">
      <c r="E10" s="12" t="s">
        <v>23</v>
      </c>
      <c r="F10" t="s">
        <v>1174</v>
      </c>
      <c r="H10" t="s">
        <v>86</v>
      </c>
      <c r="I10" t="s">
        <v>336</v>
      </c>
      <c r="J10" s="34">
        <v>0.44</v>
      </c>
      <c r="K10" t="s">
        <v>16</v>
      </c>
      <c r="L10" s="2" t="s">
        <v>44</v>
      </c>
      <c r="M10" s="23">
        <v>0.15429999999999999</v>
      </c>
      <c r="N10" t="s">
        <v>8</v>
      </c>
      <c r="O10" s="27">
        <v>1.9199999999999998E-2</v>
      </c>
    </row>
    <row r="11" spans="1:19" x14ac:dyDescent="0.2">
      <c r="E11" s="12" t="s">
        <v>24</v>
      </c>
      <c r="F11" t="s">
        <v>1174</v>
      </c>
      <c r="H11" t="s">
        <v>86</v>
      </c>
      <c r="I11" t="s">
        <v>336</v>
      </c>
      <c r="J11" s="34">
        <v>0.46</v>
      </c>
      <c r="K11" t="s">
        <v>16</v>
      </c>
      <c r="L11" s="2" t="s">
        <v>45</v>
      </c>
      <c r="M11" s="23">
        <v>0.1172</v>
      </c>
      <c r="N11" t="s">
        <v>8</v>
      </c>
      <c r="O11" s="27">
        <v>2.3E-3</v>
      </c>
    </row>
    <row r="12" spans="1:19" x14ac:dyDescent="0.2">
      <c r="E12" s="12" t="s">
        <v>25</v>
      </c>
      <c r="F12" t="s">
        <v>1174</v>
      </c>
      <c r="H12" t="s">
        <v>86</v>
      </c>
      <c r="I12" t="s">
        <v>336</v>
      </c>
      <c r="J12" s="34">
        <v>0.52</v>
      </c>
      <c r="K12" t="s">
        <v>16</v>
      </c>
      <c r="L12" s="2" t="s">
        <v>46</v>
      </c>
      <c r="M12" s="23">
        <v>0.37280000000000002</v>
      </c>
      <c r="N12" t="s">
        <v>8</v>
      </c>
      <c r="O12" s="27">
        <v>0.36170000000000002</v>
      </c>
    </row>
    <row r="13" spans="1:19" x14ac:dyDescent="0.2">
      <c r="E13" s="12" t="s">
        <v>26</v>
      </c>
      <c r="F13" t="s">
        <v>1174</v>
      </c>
      <c r="H13" t="s">
        <v>86</v>
      </c>
      <c r="I13" t="s">
        <v>336</v>
      </c>
      <c r="J13" s="34">
        <v>0.53</v>
      </c>
      <c r="K13" t="s">
        <v>16</v>
      </c>
      <c r="L13" s="2" t="s">
        <v>47</v>
      </c>
      <c r="M13" s="23">
        <v>0.22339999999999999</v>
      </c>
      <c r="N13" t="s">
        <v>8</v>
      </c>
      <c r="O13" s="27">
        <v>0.13189999999999999</v>
      </c>
    </row>
    <row r="14" spans="1:19" x14ac:dyDescent="0.2">
      <c r="E14" s="12" t="s">
        <v>27</v>
      </c>
      <c r="F14" t="s">
        <v>1174</v>
      </c>
      <c r="H14" t="s">
        <v>86</v>
      </c>
      <c r="I14" t="s">
        <v>336</v>
      </c>
      <c r="J14" s="34">
        <v>0.54</v>
      </c>
      <c r="K14" t="s">
        <v>16</v>
      </c>
      <c r="L14" s="2" t="s">
        <v>48</v>
      </c>
      <c r="M14" s="23">
        <v>0.38779999999999998</v>
      </c>
      <c r="N14" t="s">
        <v>8</v>
      </c>
      <c r="O14" s="27">
        <v>0.39079999999999998</v>
      </c>
    </row>
    <row r="15" spans="1:19" x14ac:dyDescent="0.2">
      <c r="E15" s="12" t="s">
        <v>28</v>
      </c>
      <c r="F15" t="s">
        <v>1174</v>
      </c>
      <c r="H15" t="s">
        <v>86</v>
      </c>
      <c r="I15" t="s">
        <v>336</v>
      </c>
      <c r="J15" s="34">
        <v>0.55000000000000004</v>
      </c>
      <c r="K15" t="s">
        <v>16</v>
      </c>
      <c r="L15" s="2" t="s">
        <v>49</v>
      </c>
      <c r="M15" s="23">
        <v>7.0400000000000004E-2</v>
      </c>
      <c r="N15" t="s">
        <v>8</v>
      </c>
      <c r="O15" s="27">
        <v>0</v>
      </c>
      <c r="P15" s="8"/>
      <c r="Q15" s="8"/>
      <c r="R15" s="8"/>
      <c r="S15" s="8"/>
    </row>
    <row r="16" spans="1:19" x14ac:dyDescent="0.2">
      <c r="E16" s="12" t="s">
        <v>29</v>
      </c>
      <c r="F16" t="s">
        <v>1174</v>
      </c>
      <c r="H16" t="s">
        <v>86</v>
      </c>
      <c r="I16" t="s">
        <v>336</v>
      </c>
      <c r="J16" s="34">
        <v>0.64</v>
      </c>
      <c r="K16" t="s">
        <v>16</v>
      </c>
      <c r="L16" s="2" t="s">
        <v>50</v>
      </c>
      <c r="M16" s="23">
        <v>9.8599999999999993E-2</v>
      </c>
      <c r="N16" t="s">
        <v>8</v>
      </c>
      <c r="O16" s="27">
        <v>3.8E-3</v>
      </c>
      <c r="P16" s="8"/>
      <c r="Q16" s="8"/>
      <c r="R16" s="8"/>
      <c r="S16" s="8"/>
    </row>
    <row r="17" spans="1:19" x14ac:dyDescent="0.2">
      <c r="E17" s="12" t="s">
        <v>30</v>
      </c>
      <c r="F17" t="s">
        <v>1174</v>
      </c>
      <c r="H17" t="s">
        <v>86</v>
      </c>
      <c r="I17" t="s">
        <v>336</v>
      </c>
      <c r="J17" s="34">
        <v>0.69</v>
      </c>
      <c r="K17" t="s">
        <v>16</v>
      </c>
      <c r="L17" s="2" t="s">
        <v>51</v>
      </c>
      <c r="M17" s="23">
        <v>0.1653</v>
      </c>
      <c r="N17" t="s">
        <v>8</v>
      </c>
      <c r="O17" s="27">
        <v>0.1215</v>
      </c>
      <c r="P17" s="8"/>
      <c r="Q17" s="8"/>
      <c r="R17" s="8"/>
      <c r="S17" s="8"/>
    </row>
    <row r="18" spans="1:19" x14ac:dyDescent="0.2">
      <c r="E18" s="12" t="s">
        <v>31</v>
      </c>
      <c r="F18" t="s">
        <v>1174</v>
      </c>
      <c r="H18" t="s">
        <v>86</v>
      </c>
      <c r="I18" t="s">
        <v>336</v>
      </c>
      <c r="J18" s="34">
        <v>0.74</v>
      </c>
      <c r="K18" t="s">
        <v>16</v>
      </c>
      <c r="L18" s="2" t="s">
        <v>52</v>
      </c>
      <c r="M18" s="23">
        <v>0.2515</v>
      </c>
      <c r="N18" t="s">
        <v>8</v>
      </c>
      <c r="O18" s="27">
        <v>0.37559999999999999</v>
      </c>
      <c r="P18" s="8"/>
      <c r="Q18" s="8"/>
      <c r="R18" s="8"/>
      <c r="S18" s="8"/>
    </row>
    <row r="19" spans="1:19" x14ac:dyDescent="0.2">
      <c r="E19" s="12" t="s">
        <v>32</v>
      </c>
      <c r="F19" t="s">
        <v>1174</v>
      </c>
      <c r="H19" t="s">
        <v>86</v>
      </c>
      <c r="I19" t="s">
        <v>336</v>
      </c>
      <c r="J19" s="34">
        <v>0.79</v>
      </c>
      <c r="K19" t="s">
        <v>16</v>
      </c>
      <c r="L19" s="2" t="s">
        <v>53</v>
      </c>
      <c r="M19" s="23">
        <v>0.1613</v>
      </c>
      <c r="N19" t="s">
        <v>8</v>
      </c>
      <c r="O19" s="27">
        <v>0.24829999999999999</v>
      </c>
      <c r="P19" s="8"/>
      <c r="Q19" s="8"/>
      <c r="R19" s="8"/>
      <c r="S19" s="8"/>
    </row>
    <row r="20" spans="1:19" x14ac:dyDescent="0.2">
      <c r="E20" s="12" t="s">
        <v>33</v>
      </c>
      <c r="F20" t="s">
        <v>1174</v>
      </c>
      <c r="H20" t="s">
        <v>86</v>
      </c>
      <c r="I20" t="s">
        <v>336</v>
      </c>
      <c r="J20" s="34">
        <v>0.81</v>
      </c>
      <c r="K20" t="s">
        <v>16</v>
      </c>
      <c r="L20" s="2" t="s">
        <v>54</v>
      </c>
      <c r="M20" s="23">
        <v>0.13239999999999999</v>
      </c>
      <c r="N20" t="s">
        <v>8</v>
      </c>
      <c r="O20" s="27">
        <v>0.19750000000000001</v>
      </c>
      <c r="Q20" s="8"/>
      <c r="R20" s="8"/>
      <c r="S20" s="8"/>
    </row>
    <row r="21" spans="1:19" x14ac:dyDescent="0.2">
      <c r="E21" s="12" t="s">
        <v>34</v>
      </c>
      <c r="F21" t="s">
        <v>1174</v>
      </c>
      <c r="H21" t="s">
        <v>86</v>
      </c>
      <c r="I21" t="s">
        <v>336</v>
      </c>
      <c r="J21" s="34">
        <v>0.81</v>
      </c>
      <c r="K21" t="s">
        <v>16</v>
      </c>
      <c r="L21" s="2" t="s">
        <v>55</v>
      </c>
      <c r="M21" s="23">
        <v>0.15229999999999999</v>
      </c>
      <c r="N21" t="s">
        <v>8</v>
      </c>
      <c r="O21" s="27">
        <v>0.26229999999999998</v>
      </c>
      <c r="P21" s="8"/>
      <c r="Q21" s="8"/>
      <c r="R21" s="8"/>
      <c r="S21" s="8"/>
    </row>
    <row r="22" spans="1:19" x14ac:dyDescent="0.2">
      <c r="E22" s="12" t="s">
        <v>35</v>
      </c>
      <c r="F22" t="s">
        <v>1174</v>
      </c>
      <c r="H22" t="s">
        <v>86</v>
      </c>
      <c r="I22" t="s">
        <v>336</v>
      </c>
      <c r="J22" s="34">
        <v>0.81</v>
      </c>
      <c r="K22" t="s">
        <v>16</v>
      </c>
      <c r="L22" s="2" t="s">
        <v>56</v>
      </c>
      <c r="M22" s="23">
        <v>0.18290000000000001</v>
      </c>
      <c r="N22" t="s">
        <v>8</v>
      </c>
      <c r="O22" s="27">
        <v>0.35070000000000001</v>
      </c>
      <c r="P22" s="8"/>
      <c r="Q22" s="8"/>
      <c r="R22" s="8"/>
      <c r="S22" s="8"/>
    </row>
    <row r="23" spans="1:19" x14ac:dyDescent="0.2">
      <c r="E23" s="12" t="s">
        <v>36</v>
      </c>
      <c r="F23" t="s">
        <v>1174</v>
      </c>
      <c r="H23" t="s">
        <v>86</v>
      </c>
      <c r="I23" t="s">
        <v>336</v>
      </c>
      <c r="J23" s="34">
        <v>0.9</v>
      </c>
      <c r="K23" t="s">
        <v>16</v>
      </c>
      <c r="L23" s="2" t="s">
        <v>57</v>
      </c>
      <c r="M23" s="23">
        <v>0.24340000000000001</v>
      </c>
      <c r="N23" t="s">
        <v>8</v>
      </c>
      <c r="O23" s="27">
        <v>0.69679999999999997</v>
      </c>
      <c r="P23" s="8"/>
      <c r="Q23" s="8"/>
      <c r="R23" s="8"/>
      <c r="S23" s="8"/>
    </row>
    <row r="24" spans="1:19" x14ac:dyDescent="0.2">
      <c r="A24" s="38" t="s">
        <v>58</v>
      </c>
      <c r="B24" t="s">
        <v>72</v>
      </c>
      <c r="C24" t="s">
        <v>16</v>
      </c>
      <c r="D24">
        <v>388</v>
      </c>
      <c r="E24" s="11" t="s">
        <v>59</v>
      </c>
      <c r="F24" t="s">
        <v>1175</v>
      </c>
      <c r="H24" t="s">
        <v>87</v>
      </c>
      <c r="I24" s="38" t="s">
        <v>13</v>
      </c>
      <c r="J24" s="33">
        <v>1.5149999999999999</v>
      </c>
      <c r="K24" t="s">
        <v>8</v>
      </c>
      <c r="L24" s="10"/>
      <c r="M24" s="21">
        <v>0.46899999999999997</v>
      </c>
      <c r="N24" t="s">
        <v>8</v>
      </c>
      <c r="O24" s="25">
        <v>0.17899999999999999</v>
      </c>
      <c r="P24" t="s">
        <v>1198</v>
      </c>
      <c r="Q24" s="8"/>
      <c r="R24" s="8"/>
      <c r="S24" s="8"/>
    </row>
    <row r="25" spans="1:19" x14ac:dyDescent="0.2">
      <c r="E25" s="11" t="s">
        <v>60</v>
      </c>
      <c r="F25" t="s">
        <v>1175</v>
      </c>
      <c r="H25" t="s">
        <v>87</v>
      </c>
      <c r="I25" s="38" t="s">
        <v>13</v>
      </c>
      <c r="J25" s="33">
        <v>2.95</v>
      </c>
      <c r="K25" t="s">
        <v>8</v>
      </c>
      <c r="L25" s="10"/>
      <c r="M25" s="21">
        <v>1.1100000000000001</v>
      </c>
      <c r="N25" t="s">
        <v>8</v>
      </c>
      <c r="O25" s="25">
        <v>4.3E-3</v>
      </c>
      <c r="P25" t="s">
        <v>1198</v>
      </c>
      <c r="Q25" s="8"/>
      <c r="R25" s="8"/>
      <c r="S25" s="8"/>
    </row>
    <row r="26" spans="1:19" x14ac:dyDescent="0.2">
      <c r="E26" s="11" t="s">
        <v>1170</v>
      </c>
      <c r="F26" t="s">
        <v>1175</v>
      </c>
      <c r="H26" t="s">
        <v>87</v>
      </c>
      <c r="I26" t="s">
        <v>336</v>
      </c>
      <c r="J26" s="34">
        <v>4.63</v>
      </c>
      <c r="K26" t="s">
        <v>16</v>
      </c>
      <c r="L26" s="10" t="s">
        <v>63</v>
      </c>
      <c r="M26" s="23">
        <v>2.8290000000000002</v>
      </c>
      <c r="N26" t="s">
        <v>8</v>
      </c>
      <c r="O26" s="26">
        <v>1.21E-2</v>
      </c>
      <c r="P26" s="8"/>
      <c r="Q26" s="8"/>
      <c r="R26" s="8"/>
      <c r="S26" s="8"/>
    </row>
    <row r="27" spans="1:19" x14ac:dyDescent="0.2">
      <c r="A27" t="s">
        <v>68</v>
      </c>
      <c r="B27" t="s">
        <v>73</v>
      </c>
      <c r="C27" t="s">
        <v>16</v>
      </c>
      <c r="D27">
        <v>267</v>
      </c>
      <c r="E27" s="11" t="s">
        <v>74</v>
      </c>
      <c r="H27" t="s">
        <v>87</v>
      </c>
      <c r="I27" t="s">
        <v>13</v>
      </c>
      <c r="J27" s="33">
        <v>5.91</v>
      </c>
      <c r="K27" t="s">
        <v>16</v>
      </c>
      <c r="L27" s="2" t="s">
        <v>75</v>
      </c>
      <c r="M27" s="21">
        <v>3.68</v>
      </c>
      <c r="N27" t="s">
        <v>16</v>
      </c>
      <c r="O27" s="28">
        <v>7.0000000000000001E-3</v>
      </c>
    </row>
    <row r="28" spans="1:19" ht="65.25" customHeight="1" x14ac:dyDescent="3.5">
      <c r="E28" t="s">
        <v>76</v>
      </c>
      <c r="H28" t="s">
        <v>87</v>
      </c>
      <c r="I28" t="s">
        <v>13</v>
      </c>
      <c r="J28" s="39">
        <v>0.39</v>
      </c>
      <c r="K28" t="s">
        <v>16</v>
      </c>
      <c r="L28" s="40" t="s">
        <v>1202</v>
      </c>
      <c r="M28" s="21">
        <v>1.7899999999999999E-2</v>
      </c>
      <c r="N28" t="s">
        <v>16</v>
      </c>
      <c r="O28" s="25">
        <v>5.0000000000000001E-3</v>
      </c>
    </row>
    <row r="29" spans="1:19" ht="13.5" customHeight="1" x14ac:dyDescent="0.2">
      <c r="E29" t="s">
        <v>77</v>
      </c>
      <c r="H29" t="s">
        <v>86</v>
      </c>
      <c r="I29" t="s">
        <v>13</v>
      </c>
      <c r="J29" s="33">
        <v>1.1100000000000001</v>
      </c>
      <c r="K29" t="s">
        <v>16</v>
      </c>
      <c r="L29" t="s">
        <v>78</v>
      </c>
      <c r="M29" s="21">
        <v>5.0999999999999997E-2</v>
      </c>
      <c r="N29" t="s">
        <v>16</v>
      </c>
      <c r="O29" s="25">
        <v>3.2000000000000001E-2</v>
      </c>
    </row>
    <row r="30" spans="1:19" x14ac:dyDescent="0.2">
      <c r="E30" t="s">
        <v>79</v>
      </c>
      <c r="H30" t="s">
        <v>86</v>
      </c>
      <c r="I30" t="s">
        <v>13</v>
      </c>
      <c r="J30" s="33">
        <v>0.32</v>
      </c>
      <c r="K30" t="s">
        <v>16</v>
      </c>
      <c r="L30" t="s">
        <v>82</v>
      </c>
      <c r="M30" s="21">
        <v>0.10199999999999999</v>
      </c>
      <c r="N30" t="s">
        <v>16</v>
      </c>
    </row>
    <row r="31" spans="1:19" x14ac:dyDescent="0.2">
      <c r="E31" t="s">
        <v>81</v>
      </c>
      <c r="H31" t="s">
        <v>86</v>
      </c>
      <c r="I31" t="s">
        <v>13</v>
      </c>
      <c r="J31" s="33">
        <v>0.05</v>
      </c>
      <c r="K31" t="s">
        <v>16</v>
      </c>
      <c r="L31" t="s">
        <v>83</v>
      </c>
      <c r="M31" s="21">
        <v>2.6499999999999999E-2</v>
      </c>
      <c r="N31" t="s">
        <v>16</v>
      </c>
    </row>
    <row r="32" spans="1:19" ht="63.75" customHeight="1" x14ac:dyDescent="3.5">
      <c r="E32" t="s">
        <v>80</v>
      </c>
      <c r="H32" t="s">
        <v>86</v>
      </c>
      <c r="I32" t="s">
        <v>13</v>
      </c>
      <c r="J32" s="33">
        <v>0.97</v>
      </c>
      <c r="K32" t="s">
        <v>16</v>
      </c>
      <c r="L32" s="41" t="s">
        <v>1203</v>
      </c>
      <c r="M32" s="21">
        <v>1.2800000000000001E-2</v>
      </c>
      <c r="N32" t="s">
        <v>16</v>
      </c>
      <c r="O32" s="25">
        <v>2.1000000000000001E-2</v>
      </c>
    </row>
    <row r="33" spans="1:22" ht="14.25" customHeight="1" x14ac:dyDescent="0.2">
      <c r="A33" t="s">
        <v>84</v>
      </c>
      <c r="B33" t="s">
        <v>85</v>
      </c>
      <c r="C33" t="s">
        <v>16</v>
      </c>
      <c r="D33">
        <v>33080</v>
      </c>
      <c r="E33" s="16" t="s">
        <v>242</v>
      </c>
      <c r="H33" t="s">
        <v>86</v>
      </c>
      <c r="I33" t="s">
        <v>12</v>
      </c>
      <c r="J33" s="35"/>
      <c r="K33" t="s">
        <v>16</v>
      </c>
      <c r="L33" s="15"/>
      <c r="M33" s="24"/>
      <c r="N33" t="s">
        <v>16</v>
      </c>
      <c r="O33" s="29"/>
    </row>
    <row r="34" spans="1:22" x14ac:dyDescent="0.2">
      <c r="A34" t="s">
        <v>212</v>
      </c>
      <c r="B34" t="s">
        <v>213</v>
      </c>
      <c r="C34" t="s">
        <v>8</v>
      </c>
      <c r="D34">
        <v>301</v>
      </c>
      <c r="E34" t="s">
        <v>214</v>
      </c>
      <c r="F34" t="s">
        <v>1178</v>
      </c>
      <c r="H34" t="s">
        <v>215</v>
      </c>
      <c r="I34" t="s">
        <v>13</v>
      </c>
      <c r="J34" s="36">
        <v>1.24</v>
      </c>
      <c r="K34" s="11" t="s">
        <v>16</v>
      </c>
      <c r="L34" s="2" t="s">
        <v>216</v>
      </c>
      <c r="M34" s="20">
        <v>0.122</v>
      </c>
      <c r="N34" t="s">
        <v>16</v>
      </c>
      <c r="O34" s="25">
        <v>3.3000000000000002E-2</v>
      </c>
      <c r="Q34" s="1"/>
      <c r="R34" s="1"/>
      <c r="S34" s="3"/>
      <c r="T34" s="3"/>
      <c r="U34" s="3"/>
      <c r="V34" s="13"/>
    </row>
    <row r="35" spans="1:22" x14ac:dyDescent="0.2">
      <c r="E35" t="s">
        <v>221</v>
      </c>
      <c r="F35" t="s">
        <v>1175</v>
      </c>
      <c r="H35" t="s">
        <v>215</v>
      </c>
      <c r="I35" t="s">
        <v>13</v>
      </c>
      <c r="J35" s="36">
        <v>1.33</v>
      </c>
      <c r="K35" s="11" t="s">
        <v>16</v>
      </c>
      <c r="L35" s="2" t="s">
        <v>217</v>
      </c>
      <c r="M35" s="20">
        <v>0.18260000000000001</v>
      </c>
      <c r="N35" t="s">
        <v>16</v>
      </c>
      <c r="O35" s="25">
        <v>3.9E-2</v>
      </c>
      <c r="Q35" s="4"/>
      <c r="R35" s="4"/>
      <c r="S35" s="2"/>
      <c r="T35" s="2"/>
      <c r="U35" s="2"/>
      <c r="V35" s="7"/>
    </row>
    <row r="36" spans="1:22" x14ac:dyDescent="0.2">
      <c r="E36" t="s">
        <v>222</v>
      </c>
      <c r="F36" t="s">
        <v>1175</v>
      </c>
      <c r="G36" t="s">
        <v>1176</v>
      </c>
      <c r="H36" t="s">
        <v>215</v>
      </c>
      <c r="I36" t="s">
        <v>13</v>
      </c>
      <c r="J36" s="36">
        <v>1.1000000000000001</v>
      </c>
      <c r="K36" s="11" t="s">
        <v>16</v>
      </c>
      <c r="L36" s="2" t="s">
        <v>218</v>
      </c>
      <c r="M36" s="20">
        <v>4.5600000000000002E-2</v>
      </c>
      <c r="N36" t="s">
        <v>16</v>
      </c>
      <c r="O36" s="25">
        <v>1.6E-2</v>
      </c>
      <c r="Q36" s="4"/>
      <c r="R36" s="4"/>
      <c r="S36" s="2"/>
      <c r="T36" s="2"/>
      <c r="U36" s="2"/>
      <c r="V36" s="7"/>
    </row>
    <row r="37" spans="1:22" x14ac:dyDescent="0.2">
      <c r="E37" t="s">
        <v>223</v>
      </c>
      <c r="F37" t="s">
        <v>223</v>
      </c>
      <c r="G37" t="s">
        <v>1177</v>
      </c>
      <c r="H37" t="s">
        <v>215</v>
      </c>
      <c r="I37" t="s">
        <v>13</v>
      </c>
      <c r="J37" s="36">
        <v>2.33</v>
      </c>
      <c r="K37" s="11" t="s">
        <v>16</v>
      </c>
      <c r="L37" s="2" t="s">
        <v>219</v>
      </c>
      <c r="M37" s="20">
        <v>0.77539999999999998</v>
      </c>
      <c r="N37" t="s">
        <v>16</v>
      </c>
      <c r="O37" s="25">
        <v>1.0999999999999999E-2</v>
      </c>
      <c r="Q37" s="4"/>
      <c r="R37" s="4"/>
      <c r="S37" s="2"/>
      <c r="T37" s="2"/>
      <c r="U37" s="2"/>
      <c r="V37" s="7"/>
    </row>
    <row r="38" spans="1:22" x14ac:dyDescent="0.2">
      <c r="E38" t="s">
        <v>220</v>
      </c>
      <c r="F38" t="s">
        <v>1181</v>
      </c>
      <c r="G38" t="s">
        <v>1179</v>
      </c>
      <c r="H38" t="s">
        <v>87</v>
      </c>
      <c r="I38" t="s">
        <v>13</v>
      </c>
      <c r="J38" s="36">
        <v>3.12</v>
      </c>
      <c r="K38" s="11" t="s">
        <v>16</v>
      </c>
      <c r="L38" s="2" t="s">
        <v>225</v>
      </c>
      <c r="M38" s="20">
        <v>1.3496999999999999</v>
      </c>
      <c r="N38" t="s">
        <v>16</v>
      </c>
      <c r="O38" s="25">
        <v>8.0000000000000002E-3</v>
      </c>
      <c r="Q38" s="4"/>
      <c r="R38" s="4"/>
      <c r="S38" s="2"/>
      <c r="T38" s="2"/>
      <c r="U38" s="2"/>
      <c r="V38" s="7"/>
    </row>
    <row r="39" spans="1:22" x14ac:dyDescent="0.2">
      <c r="E39" t="s">
        <v>224</v>
      </c>
      <c r="F39" t="s">
        <v>1181</v>
      </c>
      <c r="H39" t="s">
        <v>86</v>
      </c>
      <c r="I39" t="s">
        <v>13</v>
      </c>
      <c r="J39" s="36">
        <v>7.58</v>
      </c>
      <c r="K39" s="11" t="s">
        <v>16</v>
      </c>
      <c r="L39" s="2" t="s">
        <v>226</v>
      </c>
      <c r="M39" s="20">
        <v>6.2347000000000001</v>
      </c>
      <c r="N39" t="s">
        <v>16</v>
      </c>
      <c r="O39" s="25">
        <v>1.2999999999999999E-2</v>
      </c>
      <c r="Q39" s="4"/>
      <c r="R39" s="4"/>
      <c r="S39" s="2"/>
      <c r="T39" s="2"/>
      <c r="U39" s="2"/>
      <c r="V39" s="7"/>
    </row>
    <row r="40" spans="1:22" x14ac:dyDescent="0.2">
      <c r="A40" t="s">
        <v>272</v>
      </c>
      <c r="B40" s="14" t="s">
        <v>474</v>
      </c>
      <c r="C40" t="s">
        <v>16</v>
      </c>
      <c r="D40">
        <v>668836</v>
      </c>
      <c r="E40" s="16" t="s">
        <v>273</v>
      </c>
      <c r="H40" t="s">
        <v>86</v>
      </c>
      <c r="I40" t="s">
        <v>336</v>
      </c>
      <c r="J40" s="35"/>
      <c r="K40" s="11" t="s">
        <v>16</v>
      </c>
      <c r="L40" s="15"/>
      <c r="M40" s="24"/>
      <c r="N40" t="s">
        <v>8</v>
      </c>
      <c r="O40" s="29"/>
      <c r="Q40" s="4"/>
      <c r="R40" s="4"/>
      <c r="S40" s="2"/>
      <c r="T40" s="2"/>
      <c r="U40" s="2"/>
      <c r="V40" s="7"/>
    </row>
    <row r="41" spans="1:22" x14ac:dyDescent="0.2">
      <c r="A41" t="s">
        <v>274</v>
      </c>
      <c r="B41" s="17" t="s">
        <v>275</v>
      </c>
      <c r="C41" t="s">
        <v>16</v>
      </c>
      <c r="D41">
        <v>45476</v>
      </c>
      <c r="E41" t="s">
        <v>472</v>
      </c>
      <c r="F41" t="s">
        <v>1180</v>
      </c>
      <c r="H41" t="s">
        <v>86</v>
      </c>
      <c r="I41" t="s">
        <v>336</v>
      </c>
      <c r="J41" s="36">
        <v>1.65</v>
      </c>
      <c r="K41" s="11" t="s">
        <v>16</v>
      </c>
      <c r="L41" s="2" t="s">
        <v>276</v>
      </c>
      <c r="M41" s="21">
        <v>0.1167</v>
      </c>
      <c r="N41" t="s">
        <v>16</v>
      </c>
      <c r="O41" s="25" t="s">
        <v>278</v>
      </c>
      <c r="Q41" s="4"/>
      <c r="R41" s="4"/>
      <c r="S41" s="2"/>
      <c r="T41" s="2"/>
      <c r="U41" s="2"/>
      <c r="V41" s="7"/>
    </row>
    <row r="42" spans="1:22" x14ac:dyDescent="0.2">
      <c r="E42" t="s">
        <v>473</v>
      </c>
      <c r="F42" t="s">
        <v>1180</v>
      </c>
      <c r="H42" t="s">
        <v>86</v>
      </c>
      <c r="I42" t="s">
        <v>336</v>
      </c>
      <c r="J42" s="36">
        <v>2.15</v>
      </c>
      <c r="K42" s="11" t="s">
        <v>16</v>
      </c>
      <c r="L42" s="2" t="s">
        <v>277</v>
      </c>
      <c r="M42" s="22">
        <v>0.27750000000000002</v>
      </c>
      <c r="N42" t="s">
        <v>16</v>
      </c>
      <c r="O42" s="25" t="s">
        <v>279</v>
      </c>
      <c r="Q42" s="4"/>
      <c r="R42" s="4"/>
      <c r="S42" s="2"/>
      <c r="T42" s="2"/>
      <c r="U42" s="2"/>
      <c r="V42" s="7"/>
    </row>
    <row r="43" spans="1:22" x14ac:dyDescent="0.2">
      <c r="A43" t="s">
        <v>280</v>
      </c>
      <c r="B43" t="s">
        <v>281</v>
      </c>
      <c r="C43" t="s">
        <v>16</v>
      </c>
      <c r="D43">
        <f>84*2</f>
        <v>168</v>
      </c>
      <c r="E43" t="s">
        <v>282</v>
      </c>
      <c r="F43" t="s">
        <v>1175</v>
      </c>
      <c r="H43" t="s">
        <v>86</v>
      </c>
      <c r="I43" t="s">
        <v>337</v>
      </c>
      <c r="J43" s="33">
        <v>1.1000000000000001</v>
      </c>
      <c r="K43" s="11" t="s">
        <v>16</v>
      </c>
      <c r="L43" s="2" t="s">
        <v>285</v>
      </c>
      <c r="M43" s="21">
        <v>0.55600000000000005</v>
      </c>
      <c r="N43" t="s">
        <v>8</v>
      </c>
      <c r="O43" s="25">
        <v>0.85040671747970853</v>
      </c>
      <c r="Q43" s="9"/>
      <c r="R43" s="2"/>
      <c r="T43" s="2"/>
      <c r="U43" s="2"/>
      <c r="V43" s="7"/>
    </row>
    <row r="44" spans="1:22" x14ac:dyDescent="0.2">
      <c r="E44" t="s">
        <v>283</v>
      </c>
      <c r="F44" t="s">
        <v>1175</v>
      </c>
      <c r="H44" t="s">
        <v>86</v>
      </c>
      <c r="I44" t="s">
        <v>337</v>
      </c>
      <c r="J44" s="32">
        <v>0.8</v>
      </c>
      <c r="K44" s="11" t="s">
        <v>16</v>
      </c>
      <c r="L44" s="2" t="s">
        <v>286</v>
      </c>
      <c r="M44" s="21">
        <v>0.45500000000000002</v>
      </c>
      <c r="N44" t="s">
        <v>8</v>
      </c>
      <c r="O44" s="25">
        <v>0.69533790458749856</v>
      </c>
      <c r="R44" s="2"/>
      <c r="T44" s="2"/>
      <c r="U44" s="2"/>
      <c r="V44" s="7"/>
    </row>
    <row r="45" spans="1:22" x14ac:dyDescent="0.2">
      <c r="E45" t="s">
        <v>284</v>
      </c>
      <c r="F45" t="s">
        <v>1175</v>
      </c>
      <c r="H45" t="s">
        <v>86</v>
      </c>
      <c r="I45" t="s">
        <v>337</v>
      </c>
      <c r="J45" s="32">
        <v>3.3</v>
      </c>
      <c r="K45" s="11" t="s">
        <v>16</v>
      </c>
      <c r="L45" s="2" t="s">
        <v>287</v>
      </c>
      <c r="M45" s="21">
        <v>1.6950000000000001</v>
      </c>
      <c r="N45" t="s">
        <v>8</v>
      </c>
      <c r="O45" s="25">
        <v>2.0190983672144336E-2</v>
      </c>
      <c r="R45" s="2"/>
      <c r="T45" s="2"/>
      <c r="U45" s="2"/>
      <c r="V45" s="7"/>
    </row>
    <row r="46" spans="1:22" x14ac:dyDescent="0.2">
      <c r="A46" t="s">
        <v>335</v>
      </c>
      <c r="B46" t="s">
        <v>288</v>
      </c>
      <c r="C46" t="s">
        <v>16</v>
      </c>
      <c r="D46" s="8">
        <v>7107</v>
      </c>
      <c r="E46" s="8" t="s">
        <v>289</v>
      </c>
      <c r="F46" t="s">
        <v>1172</v>
      </c>
      <c r="H46" t="s">
        <v>339</v>
      </c>
      <c r="I46" t="s">
        <v>337</v>
      </c>
      <c r="J46" s="37">
        <v>0.78</v>
      </c>
      <c r="K46" s="7" t="s">
        <v>16</v>
      </c>
      <c r="L46" s="8" t="s">
        <v>290</v>
      </c>
      <c r="M46" s="20">
        <v>5.5800000000000002E-2</v>
      </c>
      <c r="N46" t="s">
        <v>16</v>
      </c>
      <c r="O46" s="30">
        <v>1E-3</v>
      </c>
      <c r="Q46" s="4"/>
      <c r="U46" s="2"/>
      <c r="V46" s="7"/>
    </row>
    <row r="47" spans="1:22" x14ac:dyDescent="0.2">
      <c r="E47" s="8" t="s">
        <v>291</v>
      </c>
      <c r="F47" t="s">
        <v>1171</v>
      </c>
      <c r="H47" t="s">
        <v>339</v>
      </c>
      <c r="I47" t="s">
        <v>337</v>
      </c>
      <c r="J47" s="37">
        <v>0.86</v>
      </c>
      <c r="K47" s="7" t="s">
        <v>16</v>
      </c>
      <c r="L47" s="8" t="s">
        <v>292</v>
      </c>
      <c r="M47" s="20">
        <v>7.1199999999999999E-2</v>
      </c>
      <c r="N47" t="s">
        <v>16</v>
      </c>
      <c r="O47" s="30">
        <v>7.0000000000000007E-2</v>
      </c>
      <c r="Q47" s="4"/>
      <c r="S47" s="9"/>
      <c r="T47" s="2"/>
      <c r="U47" s="2"/>
      <c r="V47" s="7"/>
    </row>
    <row r="48" spans="1:22" x14ac:dyDescent="0.2">
      <c r="E48" s="8" t="s">
        <v>293</v>
      </c>
      <c r="F48" t="s">
        <v>1171</v>
      </c>
      <c r="H48" t="s">
        <v>339</v>
      </c>
      <c r="I48" t="s">
        <v>337</v>
      </c>
      <c r="J48" s="37">
        <v>0.86</v>
      </c>
      <c r="K48" s="7" t="s">
        <v>16</v>
      </c>
      <c r="L48" s="8" t="s">
        <v>294</v>
      </c>
      <c r="M48" s="20">
        <v>7.8600000000000003E-2</v>
      </c>
      <c r="N48" t="s">
        <v>16</v>
      </c>
      <c r="O48" s="30">
        <v>0.11</v>
      </c>
      <c r="Q48" s="4"/>
      <c r="S48" s="9"/>
      <c r="T48" s="2"/>
      <c r="U48" s="2"/>
      <c r="V48" s="7"/>
    </row>
    <row r="49" spans="5:22" x14ac:dyDescent="0.2">
      <c r="E49" s="8" t="s">
        <v>295</v>
      </c>
      <c r="F49" t="s">
        <v>1171</v>
      </c>
      <c r="G49" t="s">
        <v>1176</v>
      </c>
      <c r="H49" t="s">
        <v>339</v>
      </c>
      <c r="I49" t="s">
        <v>337</v>
      </c>
      <c r="J49" s="37">
        <v>0.76</v>
      </c>
      <c r="K49" s="7" t="s">
        <v>16</v>
      </c>
      <c r="L49" s="8" t="s">
        <v>296</v>
      </c>
      <c r="M49" s="20">
        <v>7.5499999999999998E-2</v>
      </c>
      <c r="N49" t="s">
        <v>16</v>
      </c>
      <c r="O49" s="30">
        <v>7.0000000000000001E-3</v>
      </c>
      <c r="Q49" s="4"/>
      <c r="S49" s="9"/>
      <c r="T49" s="2"/>
      <c r="U49" s="2"/>
      <c r="V49" s="7"/>
    </row>
    <row r="50" spans="5:22" x14ac:dyDescent="0.2">
      <c r="E50" s="8" t="s">
        <v>297</v>
      </c>
      <c r="F50" t="s">
        <v>1171</v>
      </c>
      <c r="H50" t="s">
        <v>339</v>
      </c>
      <c r="I50" t="s">
        <v>337</v>
      </c>
      <c r="J50" s="37">
        <v>0.6</v>
      </c>
      <c r="K50" s="7" t="s">
        <v>16</v>
      </c>
      <c r="L50" s="8" t="s">
        <v>298</v>
      </c>
      <c r="M50" s="20">
        <v>6.5199999999999994E-2</v>
      </c>
      <c r="N50" t="s">
        <v>16</v>
      </c>
      <c r="O50" s="30" t="s">
        <v>299</v>
      </c>
      <c r="Q50" s="4"/>
      <c r="S50" s="9"/>
      <c r="T50" s="2"/>
      <c r="U50" s="2"/>
      <c r="V50" s="7"/>
    </row>
    <row r="51" spans="5:22" x14ac:dyDescent="0.2">
      <c r="E51" s="8" t="s">
        <v>300</v>
      </c>
      <c r="F51" t="s">
        <v>223</v>
      </c>
      <c r="H51" t="s">
        <v>339</v>
      </c>
      <c r="I51" t="s">
        <v>337</v>
      </c>
      <c r="J51" s="37">
        <v>0.96</v>
      </c>
      <c r="K51" s="7" t="s">
        <v>16</v>
      </c>
      <c r="L51" s="8" t="s">
        <v>301</v>
      </c>
      <c r="M51" s="20">
        <v>7.9399999999999998E-2</v>
      </c>
      <c r="N51" t="s">
        <v>16</v>
      </c>
      <c r="O51" s="30">
        <v>0.57999999999999996</v>
      </c>
      <c r="Q51" s="4"/>
      <c r="S51" s="2"/>
      <c r="T51" s="2"/>
      <c r="U51" s="2"/>
      <c r="V51" s="7"/>
    </row>
    <row r="52" spans="5:22" x14ac:dyDescent="0.2">
      <c r="E52" s="8" t="s">
        <v>302</v>
      </c>
      <c r="F52" t="s">
        <v>223</v>
      </c>
      <c r="H52" t="s">
        <v>339</v>
      </c>
      <c r="I52" t="s">
        <v>337</v>
      </c>
      <c r="J52" s="37">
        <v>0.96</v>
      </c>
      <c r="K52" s="7" t="s">
        <v>16</v>
      </c>
      <c r="L52" s="8" t="s">
        <v>303</v>
      </c>
      <c r="M52" s="20">
        <v>9.6199999999999994E-2</v>
      </c>
      <c r="N52" t="s">
        <v>16</v>
      </c>
      <c r="O52" s="30">
        <v>0.69</v>
      </c>
      <c r="Q52" s="4"/>
      <c r="R52" s="4"/>
      <c r="S52" s="2"/>
      <c r="T52" s="2"/>
      <c r="U52" s="2"/>
      <c r="V52" s="7"/>
    </row>
    <row r="53" spans="5:22" x14ac:dyDescent="0.2">
      <c r="E53" s="8" t="s">
        <v>304</v>
      </c>
      <c r="F53" t="s">
        <v>223</v>
      </c>
      <c r="H53" t="s">
        <v>339</v>
      </c>
      <c r="I53" t="s">
        <v>337</v>
      </c>
      <c r="J53" s="37">
        <v>1.08</v>
      </c>
      <c r="K53" s="7" t="s">
        <v>16</v>
      </c>
      <c r="L53" s="8" t="s">
        <v>305</v>
      </c>
      <c r="M53" s="20">
        <v>0.1855</v>
      </c>
      <c r="N53" t="s">
        <v>16</v>
      </c>
      <c r="O53" s="30">
        <v>0.66</v>
      </c>
      <c r="Q53" s="4"/>
      <c r="R53" s="4"/>
      <c r="S53" s="2"/>
      <c r="T53" s="2"/>
      <c r="U53" s="2"/>
      <c r="V53" s="7"/>
    </row>
    <row r="54" spans="5:22" x14ac:dyDescent="0.2">
      <c r="E54" s="8" t="s">
        <v>306</v>
      </c>
      <c r="F54" t="s">
        <v>223</v>
      </c>
      <c r="H54" t="s">
        <v>339</v>
      </c>
      <c r="I54" t="s">
        <v>337</v>
      </c>
      <c r="J54" s="37">
        <v>0.75</v>
      </c>
      <c r="K54" s="7" t="s">
        <v>16</v>
      </c>
      <c r="L54" s="8" t="s">
        <v>307</v>
      </c>
      <c r="M54" s="20">
        <v>0.13980000000000001</v>
      </c>
      <c r="N54" t="s">
        <v>16</v>
      </c>
      <c r="O54" s="30">
        <v>0.12</v>
      </c>
      <c r="Q54" s="4"/>
      <c r="R54" s="4"/>
      <c r="S54" s="2"/>
      <c r="T54" s="2"/>
      <c r="U54" s="2"/>
      <c r="V54" s="7"/>
    </row>
    <row r="55" spans="5:22" x14ac:dyDescent="0.2">
      <c r="E55" s="8" t="s">
        <v>308</v>
      </c>
      <c r="F55" t="s">
        <v>223</v>
      </c>
      <c r="G55" t="s">
        <v>1182</v>
      </c>
      <c r="H55" t="s">
        <v>339</v>
      </c>
      <c r="I55" t="s">
        <v>337</v>
      </c>
      <c r="J55" s="37">
        <v>1.1499999999999999</v>
      </c>
      <c r="K55" s="7" t="s">
        <v>16</v>
      </c>
      <c r="L55" s="8" t="s">
        <v>309</v>
      </c>
      <c r="M55" s="20">
        <v>0.17810000000000001</v>
      </c>
      <c r="N55" t="s">
        <v>16</v>
      </c>
      <c r="O55" s="30">
        <v>0.36</v>
      </c>
      <c r="Q55" s="4"/>
      <c r="R55" s="4"/>
      <c r="S55" s="2"/>
      <c r="T55" s="2"/>
      <c r="U55" s="2"/>
      <c r="V55" s="7"/>
    </row>
    <row r="56" spans="5:22" x14ac:dyDescent="0.2">
      <c r="E56" s="8" t="s">
        <v>310</v>
      </c>
      <c r="F56" t="s">
        <v>223</v>
      </c>
      <c r="H56" t="s">
        <v>339</v>
      </c>
      <c r="I56" t="s">
        <v>337</v>
      </c>
      <c r="J56" s="37">
        <v>0.67</v>
      </c>
      <c r="K56" s="7" t="s">
        <v>16</v>
      </c>
      <c r="L56" s="8" t="s">
        <v>311</v>
      </c>
      <c r="M56" s="20">
        <v>0.122</v>
      </c>
      <c r="N56" t="s">
        <v>16</v>
      </c>
      <c r="O56" s="30">
        <v>0.04</v>
      </c>
      <c r="Q56" s="4"/>
      <c r="R56" s="4"/>
      <c r="S56" s="2"/>
      <c r="T56" s="2"/>
      <c r="U56" s="2"/>
      <c r="V56" s="7"/>
    </row>
    <row r="57" spans="5:22" x14ac:dyDescent="0.2">
      <c r="E57" s="8" t="s">
        <v>312</v>
      </c>
      <c r="F57" t="s">
        <v>1178</v>
      </c>
      <c r="H57" t="s">
        <v>339</v>
      </c>
      <c r="I57" t="s">
        <v>337</v>
      </c>
      <c r="J57" s="37">
        <v>1.64</v>
      </c>
      <c r="K57" s="7" t="s">
        <v>16</v>
      </c>
      <c r="L57" s="8" t="s">
        <v>313</v>
      </c>
      <c r="M57" s="20">
        <v>0.1696</v>
      </c>
      <c r="N57" t="s">
        <v>16</v>
      </c>
      <c r="O57" s="30" t="s">
        <v>299</v>
      </c>
      <c r="Q57" s="4"/>
      <c r="R57" s="4"/>
      <c r="S57" s="2"/>
      <c r="T57" s="2"/>
      <c r="U57" s="2"/>
      <c r="V57" s="7"/>
    </row>
    <row r="58" spans="5:22" x14ac:dyDescent="0.2">
      <c r="E58" s="8" t="s">
        <v>314</v>
      </c>
      <c r="F58" t="s">
        <v>1175</v>
      </c>
      <c r="H58" t="s">
        <v>339</v>
      </c>
      <c r="I58" t="s">
        <v>337</v>
      </c>
      <c r="J58" s="37">
        <v>1.57</v>
      </c>
      <c r="K58" s="7" t="s">
        <v>16</v>
      </c>
      <c r="L58" s="8" t="s">
        <v>315</v>
      </c>
      <c r="M58" s="20">
        <v>0.17899999999999999</v>
      </c>
      <c r="N58" t="s">
        <v>16</v>
      </c>
      <c r="O58" s="30" t="s">
        <v>299</v>
      </c>
      <c r="Q58" s="4"/>
      <c r="R58" s="4"/>
      <c r="S58" s="2"/>
      <c r="T58" s="2"/>
      <c r="U58" s="2"/>
      <c r="V58" s="7"/>
    </row>
    <row r="59" spans="5:22" x14ac:dyDescent="0.2">
      <c r="E59" s="8" t="s">
        <v>316</v>
      </c>
      <c r="F59" t="s">
        <v>1175</v>
      </c>
      <c r="H59" t="s">
        <v>339</v>
      </c>
      <c r="I59" t="s">
        <v>337</v>
      </c>
      <c r="J59" s="37">
        <v>1.6</v>
      </c>
      <c r="K59" s="7" t="s">
        <v>16</v>
      </c>
      <c r="L59" s="8" t="s">
        <v>317</v>
      </c>
      <c r="M59" s="20">
        <v>0.1769</v>
      </c>
      <c r="N59" t="s">
        <v>16</v>
      </c>
      <c r="O59" s="30" t="s">
        <v>299</v>
      </c>
      <c r="Q59" s="4"/>
      <c r="R59" s="4"/>
      <c r="S59" s="2"/>
      <c r="T59" s="2"/>
      <c r="U59" s="2"/>
      <c r="V59" s="7"/>
    </row>
    <row r="60" spans="5:22" x14ac:dyDescent="0.2">
      <c r="E60" s="8" t="s">
        <v>318</v>
      </c>
      <c r="F60" t="s">
        <v>1174</v>
      </c>
      <c r="H60" t="s">
        <v>339</v>
      </c>
      <c r="I60" t="s">
        <v>337</v>
      </c>
      <c r="J60" s="37">
        <v>1.02</v>
      </c>
      <c r="K60" s="7" t="s">
        <v>16</v>
      </c>
      <c r="L60" s="8" t="s">
        <v>319</v>
      </c>
      <c r="M60" s="20">
        <v>0.1552</v>
      </c>
      <c r="N60" t="s">
        <v>16</v>
      </c>
      <c r="O60" s="30">
        <v>0.88</v>
      </c>
      <c r="Q60" s="4"/>
      <c r="R60" s="4"/>
      <c r="S60" s="2"/>
      <c r="T60" s="2"/>
      <c r="U60" s="2"/>
      <c r="V60" s="7"/>
    </row>
    <row r="61" spans="5:22" x14ac:dyDescent="0.2">
      <c r="E61" s="8" t="s">
        <v>320</v>
      </c>
      <c r="F61" t="s">
        <v>1175</v>
      </c>
      <c r="H61" t="s">
        <v>339</v>
      </c>
      <c r="I61" t="s">
        <v>337</v>
      </c>
      <c r="J61" s="37">
        <v>0.73</v>
      </c>
      <c r="K61" s="7" t="s">
        <v>16</v>
      </c>
      <c r="L61" s="8" t="s">
        <v>321</v>
      </c>
      <c r="M61" s="20">
        <v>5.0599999999999999E-2</v>
      </c>
      <c r="N61" t="s">
        <v>16</v>
      </c>
      <c r="O61" s="30" t="s">
        <v>299</v>
      </c>
      <c r="Q61" s="4"/>
      <c r="R61" s="4"/>
      <c r="S61" s="2"/>
      <c r="T61" s="2"/>
      <c r="U61" s="2"/>
      <c r="V61" s="7"/>
    </row>
    <row r="62" spans="5:22" x14ac:dyDescent="0.2">
      <c r="E62" s="8" t="s">
        <v>322</v>
      </c>
      <c r="F62" t="s">
        <v>1183</v>
      </c>
      <c r="H62" t="s">
        <v>339</v>
      </c>
      <c r="I62" t="s">
        <v>337</v>
      </c>
      <c r="J62" s="37">
        <v>1.89</v>
      </c>
      <c r="K62" s="7" t="s">
        <v>16</v>
      </c>
      <c r="L62" s="8" t="s">
        <v>323</v>
      </c>
      <c r="M62" s="20">
        <v>0.12989999999999999</v>
      </c>
      <c r="N62" t="s">
        <v>16</v>
      </c>
      <c r="O62" s="30" t="s">
        <v>299</v>
      </c>
      <c r="Q62" s="4"/>
      <c r="R62" s="4"/>
      <c r="S62" s="2"/>
      <c r="T62" s="2"/>
      <c r="U62" s="2"/>
      <c r="V62" s="7"/>
    </row>
    <row r="63" spans="5:22" x14ac:dyDescent="0.2">
      <c r="E63" s="8" t="s">
        <v>324</v>
      </c>
      <c r="F63" t="s">
        <v>1183</v>
      </c>
      <c r="G63" t="s">
        <v>1184</v>
      </c>
      <c r="H63" t="s">
        <v>339</v>
      </c>
      <c r="I63" t="s">
        <v>337</v>
      </c>
      <c r="J63" s="37">
        <v>1.47</v>
      </c>
      <c r="K63" s="7" t="s">
        <v>16</v>
      </c>
      <c r="L63" s="8" t="s">
        <v>328</v>
      </c>
      <c r="M63" s="20">
        <v>0.3105</v>
      </c>
      <c r="N63" t="s">
        <v>8</v>
      </c>
      <c r="O63" s="25">
        <v>6.8148805470609863E-2</v>
      </c>
      <c r="Q63" s="8"/>
      <c r="R63" s="8"/>
      <c r="T63" s="2"/>
      <c r="U63" s="2"/>
      <c r="V63" s="7"/>
    </row>
    <row r="64" spans="5:22" x14ac:dyDescent="0.2">
      <c r="E64" s="8" t="s">
        <v>325</v>
      </c>
      <c r="F64" t="s">
        <v>1183</v>
      </c>
      <c r="H64" t="s">
        <v>339</v>
      </c>
      <c r="I64" t="s">
        <v>337</v>
      </c>
      <c r="J64" s="37">
        <v>1.57</v>
      </c>
      <c r="K64" s="7" t="s">
        <v>16</v>
      </c>
      <c r="L64" s="8" t="s">
        <v>329</v>
      </c>
      <c r="M64" s="20">
        <v>0.28839999999999999</v>
      </c>
      <c r="N64" t="s">
        <v>8</v>
      </c>
      <c r="O64" s="25">
        <v>1.4062229616145006E-2</v>
      </c>
      <c r="Q64" s="8"/>
      <c r="R64" s="8"/>
      <c r="T64" s="2"/>
      <c r="U64" s="2"/>
      <c r="V64" s="7"/>
    </row>
    <row r="65" spans="1:22" x14ac:dyDescent="0.2">
      <c r="E65" s="8" t="s">
        <v>326</v>
      </c>
      <c r="F65" t="s">
        <v>1175</v>
      </c>
      <c r="H65" t="s">
        <v>339</v>
      </c>
      <c r="I65" t="s">
        <v>337</v>
      </c>
      <c r="J65" s="37">
        <v>1.56</v>
      </c>
      <c r="K65" s="7" t="s">
        <v>16</v>
      </c>
      <c r="L65" s="8" t="s">
        <v>330</v>
      </c>
      <c r="M65" s="20">
        <v>0.2616</v>
      </c>
      <c r="N65" t="s">
        <v>8</v>
      </c>
      <c r="O65" s="25">
        <v>8.0136857820811702E-3</v>
      </c>
      <c r="Q65" s="8"/>
      <c r="R65" s="8"/>
      <c r="T65" s="2"/>
      <c r="U65" s="2"/>
      <c r="V65" s="7"/>
    </row>
    <row r="66" spans="1:22" x14ac:dyDescent="0.2">
      <c r="E66" s="8" t="s">
        <v>327</v>
      </c>
      <c r="F66" t="s">
        <v>1175</v>
      </c>
      <c r="H66" t="s">
        <v>339</v>
      </c>
      <c r="I66" t="s">
        <v>337</v>
      </c>
      <c r="J66" s="37">
        <v>0.83</v>
      </c>
      <c r="K66" s="7" t="s">
        <v>16</v>
      </c>
      <c r="L66" s="8" t="s">
        <v>331</v>
      </c>
      <c r="M66" s="20">
        <v>0.13239999999999999</v>
      </c>
      <c r="N66" t="s">
        <v>8</v>
      </c>
      <c r="O66" s="25">
        <v>0.24278558698656694</v>
      </c>
      <c r="Q66" s="8"/>
      <c r="R66" s="8"/>
      <c r="T66" s="2"/>
      <c r="U66" s="2"/>
      <c r="V66" s="7"/>
    </row>
    <row r="67" spans="1:22" x14ac:dyDescent="0.2">
      <c r="A67" t="s">
        <v>723</v>
      </c>
      <c r="B67" t="s">
        <v>724</v>
      </c>
      <c r="C67" t="s">
        <v>16</v>
      </c>
      <c r="D67">
        <v>1234</v>
      </c>
      <c r="E67" s="16" t="s">
        <v>334</v>
      </c>
      <c r="H67" t="s">
        <v>86</v>
      </c>
      <c r="I67" t="s">
        <v>12</v>
      </c>
      <c r="J67" s="35"/>
      <c r="K67" s="7" t="s">
        <v>16</v>
      </c>
      <c r="L67" s="15"/>
      <c r="M67" s="24"/>
      <c r="N67" t="s">
        <v>16</v>
      </c>
      <c r="O67" s="29"/>
      <c r="Q67" s="4"/>
      <c r="R67" s="4"/>
      <c r="S67" s="2"/>
      <c r="T67" s="2"/>
      <c r="U67" s="2"/>
      <c r="V67" s="7"/>
    </row>
    <row r="68" spans="1:22" x14ac:dyDescent="0.2">
      <c r="A68" t="s">
        <v>340</v>
      </c>
      <c r="B68" t="s">
        <v>369</v>
      </c>
      <c r="C68" t="s">
        <v>16</v>
      </c>
      <c r="D68">
        <v>397</v>
      </c>
      <c r="E68" t="s">
        <v>341</v>
      </c>
      <c r="F68" t="s">
        <v>1172</v>
      </c>
      <c r="H68" t="s">
        <v>87</v>
      </c>
      <c r="I68" t="s">
        <v>13</v>
      </c>
      <c r="J68" s="32">
        <v>1.018</v>
      </c>
      <c r="K68" s="7" t="s">
        <v>16</v>
      </c>
      <c r="L68" s="2" t="s">
        <v>342</v>
      </c>
      <c r="M68" s="20">
        <v>0.48259999999999997</v>
      </c>
      <c r="N68" t="s">
        <v>16</v>
      </c>
      <c r="O68" s="31" t="s">
        <v>66</v>
      </c>
      <c r="Q68" s="4"/>
      <c r="R68" s="4"/>
      <c r="S68" s="2"/>
      <c r="T68" s="2"/>
      <c r="U68" s="2"/>
      <c r="V68" s="7"/>
    </row>
    <row r="69" spans="1:22" x14ac:dyDescent="0.2">
      <c r="E69" t="s">
        <v>343</v>
      </c>
      <c r="F69" t="s">
        <v>1185</v>
      </c>
      <c r="H69" t="s">
        <v>87</v>
      </c>
      <c r="I69" t="s">
        <v>13</v>
      </c>
      <c r="J69" s="36">
        <v>0.39600000000000002</v>
      </c>
      <c r="K69" s="7" t="s">
        <v>16</v>
      </c>
      <c r="L69" s="2" t="s">
        <v>344</v>
      </c>
      <c r="M69" s="20">
        <v>0.23319999999999999</v>
      </c>
      <c r="N69" t="s">
        <v>16</v>
      </c>
      <c r="O69" s="31" t="s">
        <v>67</v>
      </c>
      <c r="Q69" s="4"/>
      <c r="R69" s="4"/>
      <c r="S69" s="2"/>
      <c r="T69" s="2"/>
      <c r="U69" s="2"/>
      <c r="V69" s="7"/>
    </row>
    <row r="70" spans="1:22" x14ac:dyDescent="0.2">
      <c r="E70" t="s">
        <v>346</v>
      </c>
      <c r="F70" t="s">
        <v>223</v>
      </c>
      <c r="G70" t="s">
        <v>1187</v>
      </c>
      <c r="H70" t="s">
        <v>87</v>
      </c>
      <c r="I70" t="s">
        <v>13</v>
      </c>
      <c r="J70" s="36">
        <v>2.335</v>
      </c>
      <c r="K70" s="7" t="s">
        <v>16</v>
      </c>
      <c r="L70" s="2" t="s">
        <v>345</v>
      </c>
      <c r="M70" s="20">
        <v>1.0904</v>
      </c>
      <c r="N70" t="s">
        <v>16</v>
      </c>
      <c r="O70" s="31" t="s">
        <v>66</v>
      </c>
      <c r="Q70" s="4"/>
      <c r="R70" s="4"/>
      <c r="S70" s="2"/>
      <c r="T70" s="2"/>
      <c r="U70" s="2"/>
      <c r="V70" s="7"/>
    </row>
    <row r="71" spans="1:22" x14ac:dyDescent="0.2">
      <c r="E71" t="s">
        <v>347</v>
      </c>
      <c r="F71" t="s">
        <v>1175</v>
      </c>
      <c r="H71" t="s">
        <v>87</v>
      </c>
      <c r="I71" t="s">
        <v>13</v>
      </c>
      <c r="J71" s="36">
        <v>0.48</v>
      </c>
      <c r="K71" s="7" t="s">
        <v>16</v>
      </c>
      <c r="L71" s="2" t="s">
        <v>348</v>
      </c>
      <c r="M71" s="20">
        <v>0.21529999999999999</v>
      </c>
      <c r="N71" t="s">
        <v>16</v>
      </c>
      <c r="O71" s="31" t="s">
        <v>66</v>
      </c>
      <c r="Q71" s="4"/>
      <c r="R71" s="4"/>
      <c r="S71" s="2"/>
      <c r="T71" s="2"/>
      <c r="U71" s="2"/>
      <c r="V71" s="7"/>
    </row>
    <row r="72" spans="1:22" x14ac:dyDescent="0.2">
      <c r="E72" t="s">
        <v>350</v>
      </c>
      <c r="F72" t="s">
        <v>1175</v>
      </c>
      <c r="H72" t="s">
        <v>87</v>
      </c>
      <c r="I72" t="s">
        <v>13</v>
      </c>
      <c r="J72" s="36">
        <v>4.5199999999999996</v>
      </c>
      <c r="K72" s="7" t="s">
        <v>16</v>
      </c>
      <c r="L72" s="2" t="s">
        <v>349</v>
      </c>
      <c r="M72" s="20">
        <v>2.2254</v>
      </c>
      <c r="N72" t="s">
        <v>16</v>
      </c>
      <c r="O72" s="31" t="s">
        <v>66</v>
      </c>
      <c r="Q72" s="4"/>
      <c r="R72" s="4"/>
      <c r="S72" s="2"/>
      <c r="T72" s="2"/>
      <c r="U72" s="2"/>
      <c r="V72" s="7"/>
    </row>
    <row r="73" spans="1:22" x14ac:dyDescent="0.2">
      <c r="E73" t="s">
        <v>351</v>
      </c>
      <c r="F73" t="s">
        <v>1186</v>
      </c>
      <c r="H73" t="s">
        <v>87</v>
      </c>
      <c r="I73" t="s">
        <v>13</v>
      </c>
      <c r="J73" s="36">
        <v>0.88400000000000001</v>
      </c>
      <c r="K73" s="7" t="s">
        <v>16</v>
      </c>
      <c r="L73" s="2" t="s">
        <v>352</v>
      </c>
      <c r="M73" s="20">
        <v>0.58089999999999997</v>
      </c>
      <c r="N73" t="s">
        <v>16</v>
      </c>
      <c r="O73" s="31" t="s">
        <v>66</v>
      </c>
      <c r="Q73" s="4"/>
      <c r="R73" s="4"/>
      <c r="S73" s="2"/>
      <c r="T73" s="2"/>
      <c r="U73" s="2"/>
      <c r="V73" s="7"/>
    </row>
    <row r="74" spans="1:22" x14ac:dyDescent="0.2">
      <c r="E74" t="s">
        <v>353</v>
      </c>
      <c r="F74" t="s">
        <v>1172</v>
      </c>
      <c r="H74" t="s">
        <v>87</v>
      </c>
      <c r="I74" t="s">
        <v>13</v>
      </c>
      <c r="J74" s="36">
        <v>2.988</v>
      </c>
      <c r="K74" s="7" t="s">
        <v>16</v>
      </c>
      <c r="L74" s="2" t="s">
        <v>358</v>
      </c>
      <c r="M74" s="20">
        <v>1.1201000000000001</v>
      </c>
      <c r="N74" t="s">
        <v>16</v>
      </c>
      <c r="O74" s="31" t="s">
        <v>66</v>
      </c>
      <c r="Q74" s="4"/>
      <c r="R74" s="4"/>
      <c r="S74" s="2"/>
      <c r="T74" s="2"/>
      <c r="U74" s="2"/>
      <c r="V74" s="7"/>
    </row>
    <row r="75" spans="1:22" x14ac:dyDescent="0.2">
      <c r="E75" t="s">
        <v>354</v>
      </c>
      <c r="F75" t="s">
        <v>1185</v>
      </c>
      <c r="H75" t="s">
        <v>87</v>
      </c>
      <c r="I75" t="s">
        <v>13</v>
      </c>
      <c r="J75" s="36">
        <v>0.184</v>
      </c>
      <c r="K75" s="7" t="s">
        <v>16</v>
      </c>
      <c r="L75" s="2" t="s">
        <v>359</v>
      </c>
      <c r="M75" s="20">
        <v>0.1003</v>
      </c>
      <c r="N75" t="s">
        <v>16</v>
      </c>
      <c r="O75" s="31" t="s">
        <v>66</v>
      </c>
      <c r="Q75" s="4"/>
      <c r="R75" s="4"/>
      <c r="S75" s="2"/>
      <c r="T75" s="2"/>
      <c r="U75" s="2"/>
      <c r="V75" s="7"/>
    </row>
    <row r="76" spans="1:22" x14ac:dyDescent="0.2">
      <c r="E76" t="s">
        <v>355</v>
      </c>
      <c r="F76" t="s">
        <v>223</v>
      </c>
      <c r="H76" t="s">
        <v>87</v>
      </c>
      <c r="I76" t="s">
        <v>13</v>
      </c>
      <c r="J76" s="36">
        <v>0.4</v>
      </c>
      <c r="K76" s="7" t="s">
        <v>16</v>
      </c>
      <c r="L76" s="2" t="s">
        <v>360</v>
      </c>
      <c r="M76" s="20">
        <v>0.2334</v>
      </c>
      <c r="N76" t="s">
        <v>16</v>
      </c>
      <c r="O76" s="31" t="s">
        <v>66</v>
      </c>
      <c r="Q76" s="4"/>
      <c r="R76" s="4"/>
      <c r="S76" s="2"/>
      <c r="T76" s="2"/>
      <c r="U76" s="2"/>
      <c r="V76" s="7"/>
    </row>
    <row r="77" spans="1:22" x14ac:dyDescent="0.2">
      <c r="E77" t="s">
        <v>356</v>
      </c>
      <c r="F77" t="s">
        <v>1175</v>
      </c>
      <c r="H77" t="s">
        <v>87</v>
      </c>
      <c r="I77" t="s">
        <v>13</v>
      </c>
      <c r="J77" s="36">
        <v>4.4119999999999999</v>
      </c>
      <c r="K77" s="7" t="s">
        <v>16</v>
      </c>
      <c r="L77" s="2" t="s">
        <v>361</v>
      </c>
      <c r="M77" s="20">
        <v>2.1749000000000001</v>
      </c>
      <c r="N77" t="s">
        <v>16</v>
      </c>
      <c r="O77" s="31" t="s">
        <v>66</v>
      </c>
      <c r="Q77" s="4"/>
      <c r="R77" s="4"/>
      <c r="S77" s="2"/>
      <c r="T77" s="2"/>
      <c r="U77" s="2"/>
      <c r="V77" s="7"/>
    </row>
    <row r="78" spans="1:22" x14ac:dyDescent="0.2">
      <c r="E78" t="s">
        <v>357</v>
      </c>
      <c r="F78" t="s">
        <v>1186</v>
      </c>
      <c r="H78" t="s">
        <v>87</v>
      </c>
      <c r="I78" t="s">
        <v>13</v>
      </c>
      <c r="J78" s="36">
        <v>5.0170000000000003</v>
      </c>
      <c r="K78" s="7" t="s">
        <v>16</v>
      </c>
      <c r="L78" s="2" t="s">
        <v>362</v>
      </c>
      <c r="M78" s="20">
        <v>2.2974999999999999</v>
      </c>
      <c r="N78" t="s">
        <v>16</v>
      </c>
      <c r="O78" s="31" t="s">
        <v>66</v>
      </c>
      <c r="Q78" s="4"/>
      <c r="R78" s="4"/>
      <c r="S78" s="2"/>
      <c r="T78" s="2"/>
      <c r="U78" s="2"/>
      <c r="V78" s="7"/>
    </row>
    <row r="79" spans="1:22" x14ac:dyDescent="0.2">
      <c r="E79" t="s">
        <v>363</v>
      </c>
      <c r="F79" t="s">
        <v>1175</v>
      </c>
      <c r="H79" t="s">
        <v>87</v>
      </c>
      <c r="I79" t="s">
        <v>13</v>
      </c>
      <c r="J79" s="36">
        <v>1</v>
      </c>
      <c r="K79" s="7" t="s">
        <v>16</v>
      </c>
      <c r="L79" s="2" t="s">
        <v>366</v>
      </c>
      <c r="M79" s="20">
        <v>5.0000000000000001E-4</v>
      </c>
      <c r="N79" t="s">
        <v>16</v>
      </c>
      <c r="O79" s="31" t="s">
        <v>66</v>
      </c>
      <c r="Q79" s="4"/>
      <c r="R79" s="4"/>
      <c r="S79" s="2"/>
      <c r="T79" s="2"/>
      <c r="U79" s="2"/>
      <c r="V79" s="7"/>
    </row>
    <row r="80" spans="1:22" x14ac:dyDescent="0.2">
      <c r="E80" t="s">
        <v>364</v>
      </c>
      <c r="F80" t="s">
        <v>1175</v>
      </c>
      <c r="H80" t="s">
        <v>87</v>
      </c>
      <c r="I80" t="s">
        <v>13</v>
      </c>
      <c r="J80" s="36">
        <v>2.9769999999999999</v>
      </c>
      <c r="K80" s="7" t="s">
        <v>16</v>
      </c>
      <c r="L80" s="2" t="s">
        <v>367</v>
      </c>
      <c r="M80" s="20">
        <v>1.0964</v>
      </c>
      <c r="N80" t="s">
        <v>16</v>
      </c>
      <c r="O80" s="31" t="s">
        <v>66</v>
      </c>
      <c r="Q80" s="4"/>
      <c r="R80" s="4"/>
      <c r="S80" s="2"/>
      <c r="T80" s="2"/>
      <c r="U80" s="2"/>
      <c r="V80" s="7"/>
    </row>
    <row r="81" spans="1:22" x14ac:dyDescent="0.2">
      <c r="E81" t="s">
        <v>365</v>
      </c>
      <c r="F81" t="s">
        <v>223</v>
      </c>
      <c r="H81" t="s">
        <v>87</v>
      </c>
      <c r="I81" t="s">
        <v>13</v>
      </c>
      <c r="J81" s="36">
        <v>1.81</v>
      </c>
      <c r="K81" s="7" t="s">
        <v>16</v>
      </c>
      <c r="L81" s="2" t="s">
        <v>368</v>
      </c>
      <c r="M81" s="20">
        <v>0.7026</v>
      </c>
      <c r="N81" t="s">
        <v>16</v>
      </c>
      <c r="O81" s="31" t="s">
        <v>66</v>
      </c>
      <c r="Q81" s="4"/>
      <c r="R81" s="4"/>
      <c r="S81" s="2"/>
      <c r="T81" s="2"/>
      <c r="U81" s="2"/>
      <c r="V81" s="7"/>
    </row>
    <row r="82" spans="1:22" x14ac:dyDescent="0.2">
      <c r="A82" t="s">
        <v>387</v>
      </c>
      <c r="B82" t="s">
        <v>475</v>
      </c>
      <c r="C82" t="s">
        <v>16</v>
      </c>
      <c r="D82">
        <v>1439</v>
      </c>
      <c r="E82" s="16" t="s">
        <v>632</v>
      </c>
      <c r="H82" t="s">
        <v>215</v>
      </c>
      <c r="I82" t="s">
        <v>13</v>
      </c>
      <c r="J82" s="35"/>
      <c r="K82" s="7" t="s">
        <v>16</v>
      </c>
      <c r="L82" s="15"/>
      <c r="M82" s="24"/>
      <c r="N82" t="s">
        <v>333</v>
      </c>
      <c r="O82" s="29"/>
      <c r="Q82" s="4"/>
      <c r="R82" s="4"/>
      <c r="S82" s="2"/>
      <c r="T82" s="2"/>
      <c r="U82" s="2"/>
      <c r="V82" s="7"/>
    </row>
    <row r="83" spans="1:22" x14ac:dyDescent="0.2">
      <c r="A83" t="s">
        <v>476</v>
      </c>
      <c r="B83" t="s">
        <v>477</v>
      </c>
      <c r="C83" t="s">
        <v>16</v>
      </c>
      <c r="D83">
        <v>426</v>
      </c>
      <c r="E83" t="s">
        <v>1200</v>
      </c>
      <c r="F83" t="s">
        <v>1172</v>
      </c>
      <c r="H83" t="s">
        <v>86</v>
      </c>
      <c r="I83" t="s">
        <v>13</v>
      </c>
      <c r="J83" s="32">
        <v>2.0699999999999998</v>
      </c>
      <c r="K83" s="7" t="s">
        <v>16</v>
      </c>
      <c r="L83" s="9" t="s">
        <v>491</v>
      </c>
      <c r="M83" s="20">
        <v>0.6</v>
      </c>
      <c r="N83" t="s">
        <v>16</v>
      </c>
      <c r="O83" s="25">
        <v>0.01</v>
      </c>
      <c r="Q83" s="4"/>
      <c r="R83" s="4"/>
      <c r="S83" s="2"/>
      <c r="T83" s="2"/>
      <c r="U83" s="2"/>
      <c r="V83" s="7"/>
    </row>
    <row r="84" spans="1:22" x14ac:dyDescent="0.2">
      <c r="E84" t="s">
        <v>478</v>
      </c>
      <c r="F84" t="s">
        <v>1185</v>
      </c>
      <c r="H84" t="s">
        <v>86</v>
      </c>
      <c r="I84" t="s">
        <v>13</v>
      </c>
      <c r="J84" s="32">
        <v>1.36</v>
      </c>
      <c r="K84" s="7" t="s">
        <v>16</v>
      </c>
      <c r="L84" s="9" t="s">
        <v>498</v>
      </c>
      <c r="M84" s="20">
        <v>0.68</v>
      </c>
      <c r="N84" t="s">
        <v>16</v>
      </c>
      <c r="O84" s="25">
        <v>0.65</v>
      </c>
      <c r="Q84" s="4"/>
      <c r="R84" s="4"/>
      <c r="S84" s="2"/>
      <c r="T84" s="2"/>
      <c r="U84" s="2"/>
      <c r="V84" s="7"/>
    </row>
    <row r="85" spans="1:22" x14ac:dyDescent="0.2">
      <c r="E85" t="s">
        <v>479</v>
      </c>
      <c r="F85" t="s">
        <v>1185</v>
      </c>
      <c r="H85" t="s">
        <v>86</v>
      </c>
      <c r="I85" t="s">
        <v>13</v>
      </c>
      <c r="J85" s="32">
        <v>0.64</v>
      </c>
      <c r="K85" s="7" t="s">
        <v>16</v>
      </c>
      <c r="L85" s="9" t="s">
        <v>492</v>
      </c>
      <c r="M85" s="20">
        <v>0.32</v>
      </c>
      <c r="N85" t="s">
        <v>16</v>
      </c>
      <c r="O85" s="25">
        <v>0.4</v>
      </c>
      <c r="Q85" s="4"/>
      <c r="R85" s="4"/>
      <c r="S85" s="2"/>
      <c r="T85" s="2"/>
      <c r="U85" s="2"/>
      <c r="V85" s="7"/>
    </row>
    <row r="86" spans="1:22" x14ac:dyDescent="0.2">
      <c r="E86" t="s">
        <v>374</v>
      </c>
      <c r="F86" t="s">
        <v>1188</v>
      </c>
      <c r="G86" t="s">
        <v>1189</v>
      </c>
      <c r="H86" t="s">
        <v>86</v>
      </c>
      <c r="I86" t="s">
        <v>13</v>
      </c>
      <c r="J86" s="32">
        <v>1.17</v>
      </c>
      <c r="K86" s="7" t="s">
        <v>16</v>
      </c>
      <c r="L86" s="9" t="s">
        <v>493</v>
      </c>
      <c r="M86" s="20">
        <v>0.31</v>
      </c>
      <c r="N86" t="s">
        <v>16</v>
      </c>
      <c r="O86" s="25">
        <v>0.7</v>
      </c>
      <c r="Q86" s="4"/>
      <c r="R86" s="4"/>
      <c r="S86" s="2"/>
      <c r="T86" s="2"/>
      <c r="U86" s="2"/>
      <c r="V86" s="7"/>
    </row>
    <row r="87" spans="1:22" x14ac:dyDescent="0.2">
      <c r="E87" s="17" t="s">
        <v>480</v>
      </c>
      <c r="F87" t="s">
        <v>1188</v>
      </c>
      <c r="H87" t="s">
        <v>86</v>
      </c>
      <c r="I87" t="s">
        <v>13</v>
      </c>
      <c r="J87" s="32">
        <v>0.83</v>
      </c>
      <c r="K87" s="7" t="s">
        <v>16</v>
      </c>
      <c r="L87" s="9" t="s">
        <v>494</v>
      </c>
      <c r="M87" s="20">
        <v>0.23</v>
      </c>
      <c r="N87" t="s">
        <v>16</v>
      </c>
      <c r="O87" s="25">
        <v>0.59</v>
      </c>
      <c r="Q87" s="4"/>
      <c r="R87" s="4"/>
      <c r="S87" s="2"/>
      <c r="T87" s="2"/>
      <c r="U87" s="2"/>
      <c r="V87" s="7"/>
    </row>
    <row r="88" spans="1:22" x14ac:dyDescent="0.2">
      <c r="E88" s="17" t="s">
        <v>481</v>
      </c>
      <c r="F88" t="s">
        <v>1188</v>
      </c>
      <c r="H88" t="s">
        <v>86</v>
      </c>
      <c r="I88" t="s">
        <v>13</v>
      </c>
      <c r="J88" s="32">
        <v>1.34</v>
      </c>
      <c r="K88" s="7" t="s">
        <v>16</v>
      </c>
      <c r="L88" s="9" t="s">
        <v>495</v>
      </c>
      <c r="M88" s="20">
        <v>0.7</v>
      </c>
      <c r="N88" t="s">
        <v>16</v>
      </c>
      <c r="O88" s="25">
        <v>0.56999999999999995</v>
      </c>
      <c r="Q88" s="4"/>
      <c r="R88" s="4"/>
      <c r="S88" s="2"/>
      <c r="T88" s="2"/>
      <c r="U88" s="2"/>
      <c r="V88" s="7"/>
    </row>
    <row r="89" spans="1:22" x14ac:dyDescent="0.2">
      <c r="E89" s="17" t="s">
        <v>482</v>
      </c>
      <c r="F89" t="s">
        <v>1188</v>
      </c>
      <c r="H89" t="s">
        <v>86</v>
      </c>
      <c r="I89" t="s">
        <v>13</v>
      </c>
      <c r="J89" s="32">
        <v>0.86</v>
      </c>
      <c r="K89" s="7" t="s">
        <v>16</v>
      </c>
      <c r="L89" s="9" t="s">
        <v>496</v>
      </c>
      <c r="M89" s="20">
        <v>0.48</v>
      </c>
      <c r="N89" t="s">
        <v>16</v>
      </c>
      <c r="O89" s="25">
        <v>0.79</v>
      </c>
      <c r="Q89" s="4"/>
      <c r="R89" s="4"/>
      <c r="S89" s="2"/>
      <c r="T89" s="2"/>
      <c r="U89" s="2"/>
      <c r="V89" s="7"/>
    </row>
    <row r="90" spans="1:22" x14ac:dyDescent="0.2">
      <c r="E90" s="17" t="s">
        <v>483</v>
      </c>
      <c r="F90" t="s">
        <v>1188</v>
      </c>
      <c r="H90" t="s">
        <v>86</v>
      </c>
      <c r="I90" t="s">
        <v>13</v>
      </c>
      <c r="J90" s="32">
        <v>0.88</v>
      </c>
      <c r="K90" s="7" t="s">
        <v>16</v>
      </c>
      <c r="L90" s="9" t="s">
        <v>497</v>
      </c>
      <c r="M90" s="20">
        <v>0.23</v>
      </c>
      <c r="N90" t="s">
        <v>16</v>
      </c>
      <c r="O90" s="25">
        <v>0.69</v>
      </c>
    </row>
    <row r="91" spans="1:22" x14ac:dyDescent="0.2">
      <c r="E91" s="19" t="s">
        <v>504</v>
      </c>
      <c r="F91" t="s">
        <v>1174</v>
      </c>
      <c r="H91" t="s">
        <v>86</v>
      </c>
      <c r="I91" t="s">
        <v>13</v>
      </c>
      <c r="J91" s="32">
        <v>1.1499999999999999</v>
      </c>
      <c r="K91" s="7" t="s">
        <v>16</v>
      </c>
      <c r="L91" s="9" t="s">
        <v>499</v>
      </c>
      <c r="M91" s="20">
        <v>0.92</v>
      </c>
      <c r="N91" t="s">
        <v>16</v>
      </c>
      <c r="O91" s="25">
        <v>0.69</v>
      </c>
    </row>
    <row r="92" spans="1:22" x14ac:dyDescent="0.2">
      <c r="E92" t="s">
        <v>505</v>
      </c>
      <c r="F92" t="s">
        <v>1174</v>
      </c>
      <c r="H92" t="s">
        <v>86</v>
      </c>
      <c r="I92" t="s">
        <v>13</v>
      </c>
      <c r="J92" s="32">
        <v>1.27</v>
      </c>
      <c r="K92" s="7" t="s">
        <v>16</v>
      </c>
      <c r="L92" s="9" t="s">
        <v>500</v>
      </c>
      <c r="M92" s="20">
        <v>0.44</v>
      </c>
      <c r="N92" t="s">
        <v>16</v>
      </c>
      <c r="O92" s="25">
        <v>0.51</v>
      </c>
    </row>
    <row r="93" spans="1:22" x14ac:dyDescent="0.2">
      <c r="E93" t="s">
        <v>506</v>
      </c>
      <c r="F93" t="s">
        <v>1174</v>
      </c>
      <c r="H93" t="s">
        <v>86</v>
      </c>
      <c r="I93" t="s">
        <v>13</v>
      </c>
      <c r="J93" s="32">
        <v>0.39</v>
      </c>
      <c r="K93" s="7" t="s">
        <v>16</v>
      </c>
      <c r="L93" s="9" t="s">
        <v>501</v>
      </c>
      <c r="M93" s="20">
        <v>0.28999999999999998</v>
      </c>
      <c r="N93" t="s">
        <v>16</v>
      </c>
      <c r="O93" s="25">
        <v>0.27</v>
      </c>
    </row>
    <row r="94" spans="1:22" x14ac:dyDescent="0.2">
      <c r="E94" t="s">
        <v>507</v>
      </c>
      <c r="F94" t="s">
        <v>1174</v>
      </c>
      <c r="G94" t="s">
        <v>1177</v>
      </c>
      <c r="H94" t="s">
        <v>86</v>
      </c>
      <c r="I94" t="s">
        <v>13</v>
      </c>
      <c r="J94" s="32">
        <v>0.75</v>
      </c>
      <c r="K94" s="7" t="s">
        <v>16</v>
      </c>
      <c r="L94" s="9" t="s">
        <v>502</v>
      </c>
      <c r="M94" s="20">
        <v>0.27</v>
      </c>
      <c r="N94" t="s">
        <v>16</v>
      </c>
      <c r="O94" s="25">
        <v>0.49</v>
      </c>
    </row>
    <row r="95" spans="1:22" x14ac:dyDescent="0.2">
      <c r="E95" t="s">
        <v>508</v>
      </c>
      <c r="F95" t="s">
        <v>1174</v>
      </c>
      <c r="H95" t="s">
        <v>86</v>
      </c>
      <c r="I95" t="s">
        <v>13</v>
      </c>
      <c r="J95" s="32">
        <v>1.43</v>
      </c>
      <c r="K95" s="7" t="s">
        <v>16</v>
      </c>
      <c r="L95" s="9" t="s">
        <v>503</v>
      </c>
      <c r="M95" s="20">
        <v>0.45</v>
      </c>
      <c r="N95" t="s">
        <v>16</v>
      </c>
      <c r="O95" s="25">
        <v>0.31</v>
      </c>
    </row>
    <row r="96" spans="1:22" x14ac:dyDescent="0.2">
      <c r="E96" t="s">
        <v>521</v>
      </c>
      <c r="F96" t="s">
        <v>1171</v>
      </c>
      <c r="G96" t="s">
        <v>1190</v>
      </c>
      <c r="H96" t="s">
        <v>86</v>
      </c>
      <c r="I96" t="s">
        <v>13</v>
      </c>
      <c r="J96" s="32">
        <v>0.94</v>
      </c>
      <c r="K96" s="7" t="s">
        <v>16</v>
      </c>
      <c r="L96" s="9" t="s">
        <v>513</v>
      </c>
      <c r="M96" s="20">
        <v>0.02</v>
      </c>
      <c r="N96" t="s">
        <v>16</v>
      </c>
      <c r="O96" s="25">
        <v>3.0000000000000001E-3</v>
      </c>
    </row>
    <row r="97" spans="1:15" x14ac:dyDescent="0.2">
      <c r="E97" t="s">
        <v>509</v>
      </c>
      <c r="F97" t="s">
        <v>1172</v>
      </c>
      <c r="H97" t="s">
        <v>86</v>
      </c>
      <c r="I97" t="s">
        <v>13</v>
      </c>
      <c r="J97" s="32">
        <v>1.37</v>
      </c>
      <c r="K97" s="7" t="s">
        <v>16</v>
      </c>
      <c r="L97" s="9" t="s">
        <v>514</v>
      </c>
      <c r="M97" s="20">
        <v>0.64</v>
      </c>
      <c r="N97" t="s">
        <v>16</v>
      </c>
      <c r="O97" s="25">
        <v>0.49299999999999999</v>
      </c>
    </row>
    <row r="98" spans="1:15" x14ac:dyDescent="0.2">
      <c r="E98" t="s">
        <v>510</v>
      </c>
      <c r="F98" t="s">
        <v>1175</v>
      </c>
      <c r="H98" t="s">
        <v>86</v>
      </c>
      <c r="I98" t="s">
        <v>13</v>
      </c>
      <c r="J98" s="32">
        <v>3.31</v>
      </c>
      <c r="K98" s="7" t="s">
        <v>16</v>
      </c>
      <c r="L98" s="9" t="s">
        <v>515</v>
      </c>
      <c r="M98" s="20">
        <v>1.85</v>
      </c>
      <c r="N98" t="s">
        <v>16</v>
      </c>
      <c r="O98" s="25">
        <v>3.2000000000000001E-2</v>
      </c>
    </row>
    <row r="99" spans="1:15" x14ac:dyDescent="0.2">
      <c r="E99" t="s">
        <v>511</v>
      </c>
      <c r="F99" t="s">
        <v>1175</v>
      </c>
      <c r="G99" t="s">
        <v>1190</v>
      </c>
      <c r="H99" t="s">
        <v>86</v>
      </c>
      <c r="I99" t="s">
        <v>13</v>
      </c>
      <c r="J99" s="32">
        <v>1.38</v>
      </c>
      <c r="K99" s="7" t="s">
        <v>16</v>
      </c>
      <c r="L99" s="9" t="s">
        <v>516</v>
      </c>
      <c r="M99" s="20">
        <v>0.84</v>
      </c>
      <c r="N99" t="s">
        <v>16</v>
      </c>
      <c r="O99" s="25">
        <v>0.59299999999999997</v>
      </c>
    </row>
    <row r="100" spans="1:15" x14ac:dyDescent="0.2">
      <c r="E100" t="s">
        <v>249</v>
      </c>
      <c r="F100" t="s">
        <v>1181</v>
      </c>
      <c r="G100" t="s">
        <v>1190</v>
      </c>
      <c r="H100" t="s">
        <v>86</v>
      </c>
      <c r="I100" t="s">
        <v>13</v>
      </c>
      <c r="J100" s="32">
        <v>3.03</v>
      </c>
      <c r="K100" s="7" t="s">
        <v>16</v>
      </c>
      <c r="L100" s="9" t="s">
        <v>517</v>
      </c>
      <c r="M100" s="20">
        <v>1.58</v>
      </c>
      <c r="N100" t="s">
        <v>16</v>
      </c>
      <c r="O100" s="25">
        <v>3.3000000000000002E-2</v>
      </c>
    </row>
    <row r="101" spans="1:15" x14ac:dyDescent="0.2">
      <c r="E101" t="s">
        <v>512</v>
      </c>
      <c r="F101" t="s">
        <v>1186</v>
      </c>
      <c r="H101" t="s">
        <v>86</v>
      </c>
      <c r="I101" t="s">
        <v>13</v>
      </c>
      <c r="J101" s="32">
        <v>2.23</v>
      </c>
      <c r="K101" s="7" t="s">
        <v>16</v>
      </c>
      <c r="L101" s="9" t="s">
        <v>518</v>
      </c>
      <c r="M101" s="20">
        <v>1.07</v>
      </c>
      <c r="N101" t="s">
        <v>16</v>
      </c>
      <c r="O101" s="25">
        <v>9.5000000000000001E-2</v>
      </c>
    </row>
    <row r="102" spans="1:15" x14ac:dyDescent="0.2">
      <c r="E102" t="s">
        <v>522</v>
      </c>
      <c r="F102" t="s">
        <v>1171</v>
      </c>
      <c r="H102" t="s">
        <v>86</v>
      </c>
      <c r="I102" t="s">
        <v>13</v>
      </c>
      <c r="J102" s="32">
        <v>0.94</v>
      </c>
      <c r="K102" s="7" t="s">
        <v>16</v>
      </c>
      <c r="L102" s="9" t="s">
        <v>513</v>
      </c>
      <c r="M102" s="20">
        <v>0.02</v>
      </c>
      <c r="N102" t="s">
        <v>16</v>
      </c>
      <c r="O102" s="31">
        <v>2E-3</v>
      </c>
    </row>
    <row r="103" spans="1:15" x14ac:dyDescent="0.2">
      <c r="E103" t="s">
        <v>510</v>
      </c>
      <c r="F103" t="s">
        <v>1175</v>
      </c>
      <c r="H103" t="s">
        <v>86</v>
      </c>
      <c r="I103" t="s">
        <v>13</v>
      </c>
      <c r="J103" s="32">
        <v>4.07</v>
      </c>
      <c r="K103" s="7" t="s">
        <v>16</v>
      </c>
      <c r="L103" s="9" t="s">
        <v>519</v>
      </c>
      <c r="M103" s="20">
        <v>1.69</v>
      </c>
      <c r="N103" t="s">
        <v>16</v>
      </c>
      <c r="O103" s="31">
        <v>1E-3</v>
      </c>
    </row>
    <row r="104" spans="1:15" x14ac:dyDescent="0.2">
      <c r="E104" t="s">
        <v>249</v>
      </c>
      <c r="F104" t="s">
        <v>1181</v>
      </c>
      <c r="H104" t="s">
        <v>86</v>
      </c>
      <c r="I104" t="s">
        <v>13</v>
      </c>
      <c r="J104" s="32">
        <v>3.06</v>
      </c>
      <c r="K104" s="7" t="s">
        <v>16</v>
      </c>
      <c r="L104" s="9" t="s">
        <v>520</v>
      </c>
      <c r="M104" s="20">
        <v>1.54</v>
      </c>
      <c r="N104" t="s">
        <v>16</v>
      </c>
      <c r="O104" s="31">
        <v>2.5999999999999999E-2</v>
      </c>
    </row>
    <row r="105" spans="1:15" x14ac:dyDescent="0.2">
      <c r="A105" t="s">
        <v>523</v>
      </c>
      <c r="B105" t="s">
        <v>524</v>
      </c>
      <c r="C105" t="s">
        <v>16</v>
      </c>
      <c r="D105">
        <v>118</v>
      </c>
      <c r="E105" s="16" t="s">
        <v>684</v>
      </c>
      <c r="G105" t="s">
        <v>1189</v>
      </c>
      <c r="H105" t="s">
        <v>87</v>
      </c>
      <c r="I105" t="s">
        <v>13</v>
      </c>
      <c r="J105" s="35"/>
      <c r="K105" s="7" t="s">
        <v>16</v>
      </c>
      <c r="L105" s="15"/>
      <c r="M105" s="24"/>
      <c r="N105" t="s">
        <v>16</v>
      </c>
      <c r="O105" s="29"/>
    </row>
    <row r="106" spans="1:15" x14ac:dyDescent="0.2">
      <c r="A106" t="s">
        <v>633</v>
      </c>
      <c r="B106" t="s">
        <v>688</v>
      </c>
      <c r="C106" t="s">
        <v>16</v>
      </c>
      <c r="D106">
        <v>529</v>
      </c>
      <c r="E106" s="16" t="s">
        <v>721</v>
      </c>
      <c r="H106" t="s">
        <v>722</v>
      </c>
      <c r="I106" t="s">
        <v>12</v>
      </c>
      <c r="J106" s="35"/>
      <c r="K106" s="7" t="s">
        <v>16</v>
      </c>
      <c r="L106" s="15"/>
      <c r="M106" s="24"/>
      <c r="N106" t="s">
        <v>16</v>
      </c>
      <c r="O106" s="29"/>
    </row>
    <row r="107" spans="1:15" x14ac:dyDescent="0.2">
      <c r="A107" s="42" t="s">
        <v>841</v>
      </c>
      <c r="B107" t="s">
        <v>842</v>
      </c>
      <c r="C107" t="s">
        <v>16</v>
      </c>
      <c r="D107">
        <v>500</v>
      </c>
      <c r="E107" t="s">
        <v>843</v>
      </c>
      <c r="F107" t="s">
        <v>1191</v>
      </c>
      <c r="H107" t="s">
        <v>86</v>
      </c>
      <c r="I107" t="s">
        <v>12</v>
      </c>
      <c r="J107" s="32">
        <v>9.1999999999999993</v>
      </c>
      <c r="K107" s="7" t="s">
        <v>16</v>
      </c>
      <c r="L107" t="s">
        <v>844</v>
      </c>
      <c r="M107" s="21">
        <v>2.9333</v>
      </c>
      <c r="N107" t="s">
        <v>8</v>
      </c>
      <c r="O107" s="28">
        <v>3.3955060985135788E-12</v>
      </c>
    </row>
    <row r="108" spans="1:15" x14ac:dyDescent="0.2">
      <c r="E108" t="s">
        <v>845</v>
      </c>
      <c r="F108" t="s">
        <v>1191</v>
      </c>
      <c r="H108" t="s">
        <v>86</v>
      </c>
      <c r="I108" t="s">
        <v>12</v>
      </c>
      <c r="J108" s="32">
        <v>5.0999999999999996</v>
      </c>
      <c r="K108" s="7" t="s">
        <v>16</v>
      </c>
      <c r="L108" t="s">
        <v>846</v>
      </c>
      <c r="M108" s="21">
        <v>1.8546</v>
      </c>
      <c r="N108" t="s">
        <v>8</v>
      </c>
      <c r="O108" s="28">
        <v>7.4565707195439757E-6</v>
      </c>
    </row>
    <row r="109" spans="1:15" x14ac:dyDescent="0.2">
      <c r="E109" t="s">
        <v>847</v>
      </c>
      <c r="F109" t="s">
        <v>1171</v>
      </c>
      <c r="H109" t="s">
        <v>86</v>
      </c>
      <c r="I109" t="s">
        <v>12</v>
      </c>
      <c r="J109" s="32">
        <v>4.8</v>
      </c>
      <c r="K109" s="7" t="s">
        <v>16</v>
      </c>
      <c r="L109" t="s">
        <v>848</v>
      </c>
      <c r="M109" s="21">
        <v>1.5820000000000001</v>
      </c>
      <c r="N109" t="s">
        <v>8</v>
      </c>
      <c r="O109" s="25">
        <v>1.9423835351251029E-6</v>
      </c>
    </row>
    <row r="110" spans="1:15" x14ac:dyDescent="0.2">
      <c r="E110" t="s">
        <v>849</v>
      </c>
      <c r="F110" t="s">
        <v>1173</v>
      </c>
      <c r="H110" t="s">
        <v>86</v>
      </c>
      <c r="I110" t="s">
        <v>12</v>
      </c>
      <c r="J110" s="32">
        <v>2.7</v>
      </c>
      <c r="K110" s="7" t="s">
        <v>16</v>
      </c>
      <c r="L110" t="s">
        <v>850</v>
      </c>
      <c r="M110" s="21">
        <v>0.58360000000000001</v>
      </c>
      <c r="N110" t="s">
        <v>8</v>
      </c>
      <c r="O110" s="31">
        <v>4.3222716805679795E-6</v>
      </c>
    </row>
    <row r="111" spans="1:15" x14ac:dyDescent="0.2">
      <c r="E111" t="s">
        <v>851</v>
      </c>
      <c r="F111" t="s">
        <v>1185</v>
      </c>
      <c r="H111" t="s">
        <v>86</v>
      </c>
      <c r="I111" t="s">
        <v>12</v>
      </c>
      <c r="J111" s="32">
        <v>2.1</v>
      </c>
      <c r="K111" s="7" t="s">
        <v>16</v>
      </c>
      <c r="L111" t="s">
        <v>852</v>
      </c>
      <c r="M111" s="21">
        <v>0.45929999999999999</v>
      </c>
      <c r="N111" t="s">
        <v>8</v>
      </c>
      <c r="O111" s="25">
        <v>6.9407123560316641E-4</v>
      </c>
    </row>
    <row r="112" spans="1:15" x14ac:dyDescent="0.2">
      <c r="E112" t="s">
        <v>853</v>
      </c>
      <c r="F112" t="s">
        <v>1172</v>
      </c>
      <c r="H112" t="s">
        <v>86</v>
      </c>
      <c r="I112" t="s">
        <v>12</v>
      </c>
      <c r="J112" s="32">
        <v>2</v>
      </c>
      <c r="K112" s="7" t="s">
        <v>16</v>
      </c>
      <c r="L112" t="s">
        <v>854</v>
      </c>
      <c r="M112" s="21">
        <v>0.45960000000000001</v>
      </c>
      <c r="N112" t="s">
        <v>8</v>
      </c>
      <c r="O112" s="31">
        <v>2.5579144259431086E-3</v>
      </c>
    </row>
    <row r="113" spans="1:15" ht="14.25" customHeight="1" x14ac:dyDescent="0.2">
      <c r="E113" t="s">
        <v>855</v>
      </c>
      <c r="F113" t="s">
        <v>1183</v>
      </c>
      <c r="H113" t="s">
        <v>86</v>
      </c>
      <c r="I113" t="s">
        <v>12</v>
      </c>
      <c r="J113" s="32">
        <v>1.5</v>
      </c>
      <c r="K113" s="7" t="s">
        <v>16</v>
      </c>
      <c r="L113" t="s">
        <v>856</v>
      </c>
      <c r="M113" s="21">
        <v>0.33500000000000002</v>
      </c>
      <c r="N113" t="s">
        <v>8</v>
      </c>
      <c r="O113" s="31">
        <v>6.9445399365147598E-2</v>
      </c>
    </row>
    <row r="114" spans="1:15" x14ac:dyDescent="0.2">
      <c r="E114" t="s">
        <v>857</v>
      </c>
      <c r="F114" t="s">
        <v>1185</v>
      </c>
      <c r="H114" t="s">
        <v>86</v>
      </c>
      <c r="I114" t="s">
        <v>12</v>
      </c>
      <c r="J114" s="32">
        <v>1.5</v>
      </c>
      <c r="K114" s="7" t="s">
        <v>16</v>
      </c>
      <c r="L114" t="s">
        <v>858</v>
      </c>
      <c r="M114" s="21">
        <v>0.40589999999999998</v>
      </c>
      <c r="N114" t="s">
        <v>8</v>
      </c>
      <c r="O114" s="31">
        <v>0.1340752111311494</v>
      </c>
    </row>
    <row r="115" spans="1:15" x14ac:dyDescent="0.2">
      <c r="E115" t="s">
        <v>859</v>
      </c>
      <c r="F115" t="s">
        <v>1175</v>
      </c>
      <c r="G115" t="s">
        <v>1192</v>
      </c>
      <c r="H115" t="s">
        <v>86</v>
      </c>
      <c r="I115" t="s">
        <v>12</v>
      </c>
      <c r="J115" s="32">
        <v>1.5</v>
      </c>
      <c r="K115" s="7" t="s">
        <v>16</v>
      </c>
      <c r="L115" t="s">
        <v>860</v>
      </c>
      <c r="M115" s="21">
        <v>0.39090000000000003</v>
      </c>
      <c r="N115" t="s">
        <v>8</v>
      </c>
      <c r="O115" s="25">
        <v>0.11977004441019945</v>
      </c>
    </row>
    <row r="116" spans="1:15" x14ac:dyDescent="0.2">
      <c r="E116" t="s">
        <v>861</v>
      </c>
      <c r="F116" t="s">
        <v>1185</v>
      </c>
      <c r="H116" t="s">
        <v>86</v>
      </c>
      <c r="I116" t="s">
        <v>12</v>
      </c>
      <c r="J116" s="32">
        <v>1.3</v>
      </c>
      <c r="K116" s="7" t="s">
        <v>16</v>
      </c>
      <c r="L116" t="s">
        <v>862</v>
      </c>
      <c r="M116" s="21">
        <v>0.28100000000000003</v>
      </c>
      <c r="N116" t="s">
        <v>8</v>
      </c>
      <c r="O116" s="25">
        <v>0.22481609411600223</v>
      </c>
    </row>
    <row r="117" spans="1:15" x14ac:dyDescent="0.2">
      <c r="E117" t="s">
        <v>863</v>
      </c>
      <c r="F117" t="s">
        <v>1185</v>
      </c>
      <c r="H117" t="s">
        <v>86</v>
      </c>
      <c r="I117" t="s">
        <v>12</v>
      </c>
      <c r="J117" s="32">
        <v>1.3</v>
      </c>
      <c r="K117" s="7" t="s">
        <v>16</v>
      </c>
      <c r="L117" t="s">
        <v>864</v>
      </c>
      <c r="M117" s="21">
        <v>0.43519999999999998</v>
      </c>
      <c r="N117" t="s">
        <v>8</v>
      </c>
      <c r="O117" s="25">
        <v>0.43316810707578624</v>
      </c>
    </row>
    <row r="118" spans="1:15" ht="14.25" customHeight="1" x14ac:dyDescent="0.2">
      <c r="E118" t="s">
        <v>865</v>
      </c>
      <c r="F118" t="s">
        <v>1185</v>
      </c>
      <c r="H118" t="s">
        <v>86</v>
      </c>
      <c r="I118" t="s">
        <v>12</v>
      </c>
      <c r="J118" s="32">
        <v>1.2</v>
      </c>
      <c r="K118" s="7" t="s">
        <v>16</v>
      </c>
      <c r="L118" t="s">
        <v>866</v>
      </c>
      <c r="M118" s="21">
        <v>0.26479999999999998</v>
      </c>
      <c r="N118" t="s">
        <v>8</v>
      </c>
      <c r="O118" s="25">
        <v>0.40866467041465748</v>
      </c>
    </row>
    <row r="119" spans="1:15" x14ac:dyDescent="0.2">
      <c r="E119" t="s">
        <v>867</v>
      </c>
      <c r="F119" t="s">
        <v>1185</v>
      </c>
      <c r="H119" t="s">
        <v>86</v>
      </c>
      <c r="I119" t="s">
        <v>12</v>
      </c>
      <c r="J119" s="32">
        <v>1.2</v>
      </c>
      <c r="K119" s="7" t="s">
        <v>16</v>
      </c>
      <c r="L119" t="s">
        <v>868</v>
      </c>
      <c r="M119" s="21">
        <v>0.33629999999999999</v>
      </c>
      <c r="N119" t="s">
        <v>8</v>
      </c>
      <c r="O119" s="25">
        <v>0.51533802750310453</v>
      </c>
    </row>
    <row r="120" spans="1:15" x14ac:dyDescent="0.2">
      <c r="E120" t="s">
        <v>869</v>
      </c>
      <c r="F120" t="s">
        <v>1185</v>
      </c>
      <c r="H120" t="s">
        <v>86</v>
      </c>
      <c r="I120" t="s">
        <v>12</v>
      </c>
      <c r="J120" s="32">
        <v>1.2</v>
      </c>
      <c r="K120" s="7" t="s">
        <v>16</v>
      </c>
      <c r="L120" t="s">
        <v>870</v>
      </c>
      <c r="M120" s="21">
        <v>0.23069999999999999</v>
      </c>
      <c r="N120" t="s">
        <v>8</v>
      </c>
      <c r="O120" s="25">
        <v>0.34304515027415006</v>
      </c>
    </row>
    <row r="121" spans="1:15" x14ac:dyDescent="0.2">
      <c r="E121" t="s">
        <v>871</v>
      </c>
      <c r="H121" t="s">
        <v>86</v>
      </c>
      <c r="I121" t="s">
        <v>12</v>
      </c>
      <c r="J121" s="32">
        <v>1.2</v>
      </c>
      <c r="K121" s="7" t="s">
        <v>16</v>
      </c>
      <c r="L121" t="s">
        <v>872</v>
      </c>
      <c r="M121" s="21">
        <v>0.2482</v>
      </c>
      <c r="N121" t="s">
        <v>8</v>
      </c>
      <c r="O121" s="25">
        <v>0.37813698098824267</v>
      </c>
    </row>
    <row r="122" spans="1:15" x14ac:dyDescent="0.2">
      <c r="E122" t="s">
        <v>873</v>
      </c>
      <c r="F122" t="s">
        <v>1186</v>
      </c>
      <c r="H122" t="s">
        <v>86</v>
      </c>
      <c r="I122" t="s">
        <v>12</v>
      </c>
      <c r="J122" s="32">
        <v>1.2</v>
      </c>
      <c r="K122" s="7" t="s">
        <v>16</v>
      </c>
      <c r="L122" t="s">
        <v>874</v>
      </c>
      <c r="M122" s="21">
        <v>0.30570000000000003</v>
      </c>
      <c r="N122" t="s">
        <v>8</v>
      </c>
      <c r="O122" s="25">
        <v>0.47414357099475435</v>
      </c>
    </row>
    <row r="123" spans="1:15" x14ac:dyDescent="0.2">
      <c r="E123" t="s">
        <v>875</v>
      </c>
      <c r="F123" t="s">
        <v>1185</v>
      </c>
      <c r="H123" t="s">
        <v>86</v>
      </c>
      <c r="I123" t="s">
        <v>12</v>
      </c>
      <c r="J123" s="32">
        <v>1.1000000000000001</v>
      </c>
      <c r="K123" s="7" t="s">
        <v>16</v>
      </c>
      <c r="L123" t="s">
        <v>876</v>
      </c>
      <c r="M123" s="21">
        <v>0.26500000000000001</v>
      </c>
      <c r="N123" t="s">
        <v>8</v>
      </c>
      <c r="O123" s="25">
        <v>0.69241037704395492</v>
      </c>
    </row>
    <row r="124" spans="1:15" x14ac:dyDescent="0.2">
      <c r="E124" t="s">
        <v>877</v>
      </c>
      <c r="F124" t="s">
        <v>1175</v>
      </c>
      <c r="H124" t="s">
        <v>86</v>
      </c>
      <c r="I124" t="s">
        <v>12</v>
      </c>
      <c r="J124" s="32">
        <v>1.1000000000000001</v>
      </c>
      <c r="K124" s="7" t="s">
        <v>16</v>
      </c>
      <c r="L124" t="s">
        <v>878</v>
      </c>
      <c r="M124" s="21">
        <v>0.33779999999999999</v>
      </c>
      <c r="N124" t="s">
        <v>8</v>
      </c>
      <c r="O124" s="25">
        <v>0.75631821457697956</v>
      </c>
    </row>
    <row r="125" spans="1:15" ht="14.25" customHeight="1" x14ac:dyDescent="0.2">
      <c r="A125" t="s">
        <v>879</v>
      </c>
      <c r="B125" t="s">
        <v>880</v>
      </c>
      <c r="C125" t="s">
        <v>16</v>
      </c>
      <c r="D125">
        <v>2588</v>
      </c>
      <c r="E125" t="s">
        <v>881</v>
      </c>
      <c r="F125" t="s">
        <v>1174</v>
      </c>
      <c r="H125" t="s">
        <v>86</v>
      </c>
      <c r="I125" t="s">
        <v>12</v>
      </c>
      <c r="J125" s="32">
        <v>0.87</v>
      </c>
      <c r="K125" s="7" t="s">
        <v>16</v>
      </c>
      <c r="L125" t="s">
        <v>882</v>
      </c>
      <c r="M125" s="21">
        <v>0.44156610584832601</v>
      </c>
      <c r="N125" t="s">
        <v>8</v>
      </c>
      <c r="O125" s="25">
        <v>0.78379071353931162</v>
      </c>
    </row>
    <row r="126" spans="1:15" x14ac:dyDescent="0.2">
      <c r="E126" t="s">
        <v>883</v>
      </c>
      <c r="F126" t="s">
        <v>1174</v>
      </c>
      <c r="H126" t="s">
        <v>86</v>
      </c>
      <c r="I126" t="s">
        <v>12</v>
      </c>
      <c r="J126" s="32">
        <v>0.15</v>
      </c>
      <c r="K126" s="7" t="s">
        <v>16</v>
      </c>
      <c r="L126" t="s">
        <v>884</v>
      </c>
      <c r="M126" s="21">
        <v>0.12417830866781533</v>
      </c>
      <c r="N126" t="s">
        <v>8</v>
      </c>
      <c r="O126" s="25">
        <v>2.1928277077923664E-2</v>
      </c>
    </row>
    <row r="127" spans="1:15" x14ac:dyDescent="0.2">
      <c r="E127" t="s">
        <v>886</v>
      </c>
      <c r="F127" t="s">
        <v>1174</v>
      </c>
      <c r="H127" t="s">
        <v>86</v>
      </c>
      <c r="I127" t="s">
        <v>12</v>
      </c>
      <c r="J127" s="32">
        <v>3.83</v>
      </c>
      <c r="K127" s="7" t="s">
        <v>16</v>
      </c>
      <c r="L127" t="s">
        <v>885</v>
      </c>
      <c r="M127" s="21">
        <v>1.8983415590420365</v>
      </c>
      <c r="N127" t="s">
        <v>8</v>
      </c>
      <c r="O127" s="25">
        <v>6.7425833856031847E-3</v>
      </c>
    </row>
    <row r="128" spans="1:15" x14ac:dyDescent="0.2">
      <c r="A128" t="s">
        <v>887</v>
      </c>
      <c r="B128" t="s">
        <v>888</v>
      </c>
      <c r="C128" t="s">
        <v>16</v>
      </c>
      <c r="D128">
        <v>9809</v>
      </c>
      <c r="E128" t="s">
        <v>911</v>
      </c>
      <c r="F128" t="s">
        <v>1174</v>
      </c>
      <c r="H128" t="s">
        <v>87</v>
      </c>
      <c r="I128" t="s">
        <v>12</v>
      </c>
      <c r="J128" s="32">
        <v>0.61</v>
      </c>
      <c r="K128" s="7" t="s">
        <v>16</v>
      </c>
      <c r="L128" t="s">
        <v>889</v>
      </c>
      <c r="M128">
        <v>0.13689999999999999</v>
      </c>
      <c r="N128" s="7" t="s">
        <v>16</v>
      </c>
      <c r="O128" s="25">
        <v>2.4899999999999999E-2</v>
      </c>
    </row>
    <row r="129" spans="5:15" x14ac:dyDescent="0.2">
      <c r="E129" t="s">
        <v>912</v>
      </c>
      <c r="F129" t="s">
        <v>1174</v>
      </c>
      <c r="H129" t="s">
        <v>87</v>
      </c>
      <c r="I129" t="s">
        <v>12</v>
      </c>
      <c r="J129" s="32">
        <v>0.67</v>
      </c>
      <c r="K129" s="7" t="s">
        <v>16</v>
      </c>
      <c r="L129" t="s">
        <v>890</v>
      </c>
      <c r="M129">
        <v>0.14369999999999999</v>
      </c>
      <c r="N129" s="7" t="s">
        <v>16</v>
      </c>
      <c r="O129" s="25">
        <v>6.3E-2</v>
      </c>
    </row>
    <row r="130" spans="5:15" x14ac:dyDescent="0.2">
      <c r="E130" t="s">
        <v>915</v>
      </c>
      <c r="F130" t="s">
        <v>1174</v>
      </c>
      <c r="H130" t="s">
        <v>87</v>
      </c>
      <c r="I130" t="s">
        <v>12</v>
      </c>
      <c r="J130" s="32">
        <v>0.5</v>
      </c>
      <c r="K130" s="7" t="s">
        <v>16</v>
      </c>
      <c r="L130" t="s">
        <v>891</v>
      </c>
      <c r="M130">
        <v>0.1241</v>
      </c>
      <c r="N130" s="7" t="s">
        <v>16</v>
      </c>
      <c r="O130" s="25">
        <v>5.7999999999999996E-3</v>
      </c>
    </row>
    <row r="131" spans="5:15" x14ac:dyDescent="0.2">
      <c r="E131" t="s">
        <v>913</v>
      </c>
      <c r="F131" t="s">
        <v>1174</v>
      </c>
      <c r="H131" t="s">
        <v>87</v>
      </c>
      <c r="I131" t="s">
        <v>12</v>
      </c>
      <c r="J131" s="32">
        <v>0.56999999999999995</v>
      </c>
      <c r="K131" s="7" t="s">
        <v>16</v>
      </c>
      <c r="L131" t="s">
        <v>892</v>
      </c>
      <c r="M131">
        <v>0.14050000000000001</v>
      </c>
      <c r="N131" s="7" t="s">
        <v>16</v>
      </c>
      <c r="O131" s="25">
        <v>2.06E-2</v>
      </c>
    </row>
    <row r="132" spans="5:15" x14ac:dyDescent="0.2">
      <c r="E132" t="s">
        <v>920</v>
      </c>
      <c r="F132" t="s">
        <v>1174</v>
      </c>
      <c r="H132" t="s">
        <v>87</v>
      </c>
      <c r="I132" t="s">
        <v>12</v>
      </c>
      <c r="J132" s="32">
        <v>0.66</v>
      </c>
      <c r="K132" s="7" t="s">
        <v>16</v>
      </c>
      <c r="L132" t="s">
        <v>893</v>
      </c>
      <c r="M132">
        <v>0.13100000000000001</v>
      </c>
      <c r="N132" s="7" t="s">
        <v>16</v>
      </c>
      <c r="O132" s="25">
        <v>3.73E-2</v>
      </c>
    </row>
    <row r="133" spans="5:15" x14ac:dyDescent="0.2">
      <c r="E133" t="s">
        <v>914</v>
      </c>
      <c r="F133" t="s">
        <v>1174</v>
      </c>
      <c r="H133" t="s">
        <v>87</v>
      </c>
      <c r="I133" t="s">
        <v>12</v>
      </c>
      <c r="J133" s="32">
        <v>0.74</v>
      </c>
      <c r="K133" s="7" t="s">
        <v>16</v>
      </c>
      <c r="L133" t="s">
        <v>894</v>
      </c>
      <c r="M133">
        <v>0.1399</v>
      </c>
      <c r="N133" s="7" t="s">
        <v>16</v>
      </c>
      <c r="O133" s="25">
        <v>0.1094</v>
      </c>
    </row>
    <row r="134" spans="5:15" x14ac:dyDescent="0.2">
      <c r="E134" t="s">
        <v>916</v>
      </c>
      <c r="F134" t="s">
        <v>1174</v>
      </c>
      <c r="H134" t="s">
        <v>87</v>
      </c>
      <c r="I134" t="s">
        <v>12</v>
      </c>
      <c r="J134" s="32">
        <v>0.56000000000000005</v>
      </c>
      <c r="K134" s="7" t="s">
        <v>16</v>
      </c>
      <c r="L134" t="s">
        <v>895</v>
      </c>
      <c r="M134">
        <v>0.1244</v>
      </c>
      <c r="N134" s="7" t="s">
        <v>16</v>
      </c>
      <c r="O134" s="25">
        <v>8.6E-3</v>
      </c>
    </row>
    <row r="135" spans="5:15" x14ac:dyDescent="0.2">
      <c r="E135" t="s">
        <v>917</v>
      </c>
      <c r="F135" t="s">
        <v>1174</v>
      </c>
      <c r="H135" t="s">
        <v>87</v>
      </c>
      <c r="I135" t="s">
        <v>12</v>
      </c>
      <c r="J135" s="32">
        <v>0.62</v>
      </c>
      <c r="K135" s="7" t="s">
        <v>16</v>
      </c>
      <c r="L135" t="s">
        <v>896</v>
      </c>
      <c r="M135">
        <v>0.13289999999999999</v>
      </c>
      <c r="N135" s="7" t="s">
        <v>16</v>
      </c>
      <c r="O135" s="25">
        <v>2.87E-2</v>
      </c>
    </row>
    <row r="136" spans="5:15" x14ac:dyDescent="0.2">
      <c r="E136" t="s">
        <v>905</v>
      </c>
      <c r="F136" t="s">
        <v>1174</v>
      </c>
      <c r="H136" t="s">
        <v>87</v>
      </c>
      <c r="I136" t="s">
        <v>12</v>
      </c>
      <c r="J136" s="32">
        <v>0.55000000000000004</v>
      </c>
      <c r="K136" s="7" t="s">
        <v>16</v>
      </c>
      <c r="L136" t="s">
        <v>897</v>
      </c>
      <c r="M136">
        <v>0.1971</v>
      </c>
      <c r="N136" s="7" t="s">
        <v>16</v>
      </c>
      <c r="O136" s="25">
        <v>8.8599999999999998E-2</v>
      </c>
    </row>
    <row r="137" spans="5:15" x14ac:dyDescent="0.2">
      <c r="E137" t="s">
        <v>906</v>
      </c>
      <c r="F137" t="s">
        <v>1174</v>
      </c>
      <c r="H137" t="s">
        <v>87</v>
      </c>
      <c r="I137" t="s">
        <v>12</v>
      </c>
      <c r="J137" s="32">
        <v>0.63</v>
      </c>
      <c r="K137" s="7" t="s">
        <v>16</v>
      </c>
      <c r="L137" t="s">
        <v>898</v>
      </c>
      <c r="M137">
        <v>0.2114</v>
      </c>
      <c r="N137" s="7" t="s">
        <v>16</v>
      </c>
      <c r="O137" s="25">
        <v>0.1779</v>
      </c>
    </row>
    <row r="138" spans="5:15" x14ac:dyDescent="0.2">
      <c r="E138" t="s">
        <v>907</v>
      </c>
      <c r="F138" t="s">
        <v>1174</v>
      </c>
      <c r="H138" t="s">
        <v>87</v>
      </c>
      <c r="I138" t="s">
        <v>12</v>
      </c>
      <c r="J138" s="32">
        <v>0.53</v>
      </c>
      <c r="K138" s="7" t="s">
        <v>16</v>
      </c>
      <c r="L138" t="s">
        <v>899</v>
      </c>
      <c r="M138">
        <v>0.1925</v>
      </c>
      <c r="N138" s="7" t="s">
        <v>16</v>
      </c>
      <c r="O138" s="25">
        <v>8.1199999999999994E-2</v>
      </c>
    </row>
    <row r="139" spans="5:15" x14ac:dyDescent="0.2">
      <c r="E139" t="s">
        <v>908</v>
      </c>
      <c r="F139" t="s">
        <v>1174</v>
      </c>
      <c r="H139" t="s">
        <v>87</v>
      </c>
      <c r="I139" t="s">
        <v>12</v>
      </c>
      <c r="J139" s="32">
        <v>0.62</v>
      </c>
      <c r="K139" s="7" t="s">
        <v>16</v>
      </c>
      <c r="L139" t="s">
        <v>900</v>
      </c>
      <c r="M139">
        <v>0.218</v>
      </c>
      <c r="N139" s="7" t="s">
        <v>16</v>
      </c>
      <c r="O139" s="25">
        <v>0.1678</v>
      </c>
    </row>
    <row r="140" spans="5:15" x14ac:dyDescent="0.2">
      <c r="E140" t="s">
        <v>909</v>
      </c>
      <c r="F140" t="s">
        <v>1174</v>
      </c>
      <c r="H140" t="s">
        <v>87</v>
      </c>
      <c r="I140" t="s">
        <v>12</v>
      </c>
      <c r="J140" s="32">
        <v>0.56000000000000005</v>
      </c>
      <c r="K140" s="7" t="s">
        <v>16</v>
      </c>
      <c r="L140" t="s">
        <v>901</v>
      </c>
      <c r="M140">
        <v>0.17760000000000001</v>
      </c>
      <c r="N140" s="7" t="s">
        <v>16</v>
      </c>
      <c r="O140" s="25">
        <v>6.5600000000000006E-2</v>
      </c>
    </row>
    <row r="141" spans="5:15" ht="14.25" customHeight="1" x14ac:dyDescent="0.2">
      <c r="E141" t="s">
        <v>910</v>
      </c>
      <c r="F141" t="s">
        <v>1174</v>
      </c>
      <c r="H141" t="s">
        <v>87</v>
      </c>
      <c r="I141" t="s">
        <v>12</v>
      </c>
      <c r="J141" s="32">
        <v>0.63</v>
      </c>
      <c r="K141" s="7" t="s">
        <v>16</v>
      </c>
      <c r="L141" t="s">
        <v>902</v>
      </c>
      <c r="M141">
        <v>0.19120000000000001</v>
      </c>
      <c r="N141" s="7" t="s">
        <v>16</v>
      </c>
      <c r="O141" s="25">
        <v>0.13089999999999999</v>
      </c>
    </row>
    <row r="142" spans="5:15" x14ac:dyDescent="0.2">
      <c r="E142" t="s">
        <v>918</v>
      </c>
      <c r="F142" t="s">
        <v>1174</v>
      </c>
      <c r="G142" t="s">
        <v>1193</v>
      </c>
      <c r="H142" t="s">
        <v>87</v>
      </c>
      <c r="I142" t="s">
        <v>12</v>
      </c>
      <c r="J142" s="32">
        <v>0.54</v>
      </c>
      <c r="K142" s="7" t="s">
        <v>16</v>
      </c>
      <c r="L142" t="s">
        <v>903</v>
      </c>
      <c r="M142">
        <v>0.18210000000000001</v>
      </c>
      <c r="N142" s="7" t="s">
        <v>16</v>
      </c>
      <c r="O142" s="25">
        <v>6.9500000000000006E-2</v>
      </c>
    </row>
    <row r="143" spans="5:15" x14ac:dyDescent="0.2">
      <c r="E143" t="s">
        <v>919</v>
      </c>
      <c r="F143" t="s">
        <v>1174</v>
      </c>
      <c r="G143" t="s">
        <v>1194</v>
      </c>
      <c r="H143" t="s">
        <v>87</v>
      </c>
      <c r="I143" t="s">
        <v>12</v>
      </c>
      <c r="J143" s="32">
        <v>0.62</v>
      </c>
      <c r="K143" s="7" t="s">
        <v>16</v>
      </c>
      <c r="L143" t="s">
        <v>904</v>
      </c>
      <c r="M143">
        <v>0.20019999999999999</v>
      </c>
      <c r="N143" s="7" t="s">
        <v>16</v>
      </c>
      <c r="O143" s="25">
        <v>0.14169999999999999</v>
      </c>
    </row>
    <row r="144" spans="5:15" x14ac:dyDescent="0.2">
      <c r="E144" t="s">
        <v>921</v>
      </c>
      <c r="F144" t="s">
        <v>1174</v>
      </c>
      <c r="H144" t="s">
        <v>87</v>
      </c>
      <c r="I144" t="s">
        <v>12</v>
      </c>
      <c r="J144" s="32">
        <v>0.87</v>
      </c>
      <c r="K144" s="7" t="s">
        <v>16</v>
      </c>
      <c r="L144" t="s">
        <v>925</v>
      </c>
      <c r="M144" s="21">
        <v>0.1628962199795343</v>
      </c>
      <c r="N144" s="7" t="s">
        <v>16</v>
      </c>
      <c r="O144" s="25">
        <v>0.44540000000000002</v>
      </c>
    </row>
    <row r="145" spans="1:15" x14ac:dyDescent="0.2">
      <c r="E145" t="s">
        <v>922</v>
      </c>
      <c r="F145" t="s">
        <v>1174</v>
      </c>
      <c r="H145" t="s">
        <v>87</v>
      </c>
      <c r="I145" t="s">
        <v>12</v>
      </c>
      <c r="J145" s="32">
        <v>0.81</v>
      </c>
      <c r="K145" s="7" t="s">
        <v>16</v>
      </c>
      <c r="L145" t="s">
        <v>926</v>
      </c>
      <c r="M145" s="21">
        <v>0.16841325727471315</v>
      </c>
      <c r="N145" s="7" t="s">
        <v>16</v>
      </c>
      <c r="O145" s="25">
        <v>0.31119999999999998</v>
      </c>
    </row>
    <row r="146" spans="1:15" x14ac:dyDescent="0.2">
      <c r="E146" t="s">
        <v>923</v>
      </c>
      <c r="F146" t="s">
        <v>1174</v>
      </c>
      <c r="H146" t="s">
        <v>87</v>
      </c>
      <c r="I146" t="s">
        <v>12</v>
      </c>
      <c r="J146" s="32">
        <v>0.92</v>
      </c>
      <c r="K146" s="7" t="s">
        <v>16</v>
      </c>
      <c r="L146" t="s">
        <v>927</v>
      </c>
      <c r="M146" s="21">
        <v>0.15545547962799397</v>
      </c>
      <c r="N146" s="7" t="s">
        <v>16</v>
      </c>
      <c r="O146" s="25">
        <v>0.60189999999999999</v>
      </c>
    </row>
    <row r="147" spans="1:15" x14ac:dyDescent="0.2">
      <c r="E147" t="s">
        <v>924</v>
      </c>
      <c r="F147" t="s">
        <v>1174</v>
      </c>
      <c r="H147" t="s">
        <v>87</v>
      </c>
      <c r="I147" t="s">
        <v>12</v>
      </c>
      <c r="J147" s="32">
        <v>0.83</v>
      </c>
      <c r="K147" s="7" t="s">
        <v>16</v>
      </c>
      <c r="L147" t="s">
        <v>928</v>
      </c>
      <c r="M147" s="21">
        <v>0.15762387607306672</v>
      </c>
      <c r="N147" s="7" t="s">
        <v>16</v>
      </c>
      <c r="O147" s="25">
        <v>0.31509999999999999</v>
      </c>
    </row>
    <row r="148" spans="1:15" x14ac:dyDescent="0.2">
      <c r="E148" t="s">
        <v>929</v>
      </c>
      <c r="F148" t="s">
        <v>1174</v>
      </c>
      <c r="H148" t="s">
        <v>87</v>
      </c>
      <c r="I148" t="s">
        <v>12</v>
      </c>
      <c r="J148" s="32">
        <v>0.66</v>
      </c>
      <c r="K148" s="7" t="s">
        <v>16</v>
      </c>
      <c r="L148" s="21" t="s">
        <v>935</v>
      </c>
      <c r="M148" s="21">
        <v>0.13104114609034859</v>
      </c>
      <c r="N148" s="7" t="s">
        <v>16</v>
      </c>
      <c r="O148" s="21">
        <v>3.73E-2</v>
      </c>
    </row>
    <row r="149" spans="1:15" x14ac:dyDescent="0.2">
      <c r="E149" t="s">
        <v>251</v>
      </c>
      <c r="F149" t="s">
        <v>1171</v>
      </c>
      <c r="H149" t="s">
        <v>87</v>
      </c>
      <c r="I149" t="s">
        <v>12</v>
      </c>
      <c r="J149" s="32">
        <v>0.99</v>
      </c>
      <c r="K149" s="7" t="s">
        <v>16</v>
      </c>
      <c r="L149" s="21" t="s">
        <v>936</v>
      </c>
      <c r="M149" s="21">
        <v>1.0205470141453546E-2</v>
      </c>
      <c r="N149" s="7" t="s">
        <v>16</v>
      </c>
      <c r="O149" s="21">
        <v>0.28899999999999998</v>
      </c>
    </row>
    <row r="150" spans="1:15" x14ac:dyDescent="0.2">
      <c r="E150" t="s">
        <v>977</v>
      </c>
      <c r="F150" t="s">
        <v>1172</v>
      </c>
      <c r="H150" t="s">
        <v>87</v>
      </c>
      <c r="I150" t="s">
        <v>12</v>
      </c>
      <c r="J150" s="32">
        <v>1.07</v>
      </c>
      <c r="K150" s="7" t="s">
        <v>16</v>
      </c>
      <c r="L150" s="21" t="s">
        <v>937</v>
      </c>
      <c r="M150" s="21">
        <v>0.21076150084440717</v>
      </c>
      <c r="N150" s="7" t="s">
        <v>16</v>
      </c>
      <c r="O150" s="21">
        <v>0.71399999999999997</v>
      </c>
    </row>
    <row r="151" spans="1:15" x14ac:dyDescent="0.2">
      <c r="E151" t="s">
        <v>930</v>
      </c>
      <c r="F151" t="s">
        <v>1191</v>
      </c>
      <c r="H151" t="s">
        <v>87</v>
      </c>
      <c r="I151" t="s">
        <v>12</v>
      </c>
      <c r="J151" s="32">
        <v>1.46</v>
      </c>
      <c r="K151" s="7" t="s">
        <v>16</v>
      </c>
      <c r="L151" s="21" t="s">
        <v>938</v>
      </c>
      <c r="M151" s="21">
        <v>0.2994878078247592</v>
      </c>
      <c r="N151" s="7" t="s">
        <v>16</v>
      </c>
      <c r="O151" s="21">
        <v>6.13E-2</v>
      </c>
    </row>
    <row r="152" spans="1:15" x14ac:dyDescent="0.2">
      <c r="E152" t="s">
        <v>931</v>
      </c>
      <c r="F152" t="s">
        <v>1181</v>
      </c>
      <c r="H152" t="s">
        <v>87</v>
      </c>
      <c r="I152" t="s">
        <v>12</v>
      </c>
      <c r="J152" s="32">
        <v>14.83</v>
      </c>
      <c r="K152" s="7" t="s">
        <v>16</v>
      </c>
      <c r="L152" s="21" t="s">
        <v>939</v>
      </c>
      <c r="M152" s="21">
        <v>3.8189730657688763</v>
      </c>
      <c r="N152" s="7" t="s">
        <v>16</v>
      </c>
      <c r="O152" s="21" t="s">
        <v>278</v>
      </c>
    </row>
    <row r="153" spans="1:15" x14ac:dyDescent="0.2">
      <c r="E153" t="s">
        <v>932</v>
      </c>
      <c r="F153" t="s">
        <v>1181</v>
      </c>
      <c r="H153" t="s">
        <v>87</v>
      </c>
      <c r="I153" t="s">
        <v>12</v>
      </c>
      <c r="J153" s="32">
        <v>6.91</v>
      </c>
      <c r="K153" s="7" t="s">
        <v>16</v>
      </c>
      <c r="L153" s="21" t="s">
        <v>940</v>
      </c>
      <c r="M153" s="21">
        <v>1.8024531135549209</v>
      </c>
      <c r="N153" s="7" t="s">
        <v>16</v>
      </c>
      <c r="O153" s="21" t="s">
        <v>278</v>
      </c>
    </row>
    <row r="154" spans="1:15" x14ac:dyDescent="0.2">
      <c r="E154" t="s">
        <v>933</v>
      </c>
      <c r="F154" t="s">
        <v>1181</v>
      </c>
      <c r="H154" t="s">
        <v>87</v>
      </c>
      <c r="I154" t="s">
        <v>12</v>
      </c>
      <c r="J154" s="32">
        <v>2.89</v>
      </c>
      <c r="K154" s="7" t="s">
        <v>16</v>
      </c>
      <c r="L154" s="21" t="s">
        <v>941</v>
      </c>
      <c r="M154" s="21">
        <v>1.0041494760350893</v>
      </c>
      <c r="N154" s="7" t="s">
        <v>16</v>
      </c>
      <c r="O154" s="21">
        <v>2.2000000000000001E-3</v>
      </c>
    </row>
    <row r="155" spans="1:15" x14ac:dyDescent="0.2">
      <c r="E155" t="s">
        <v>934</v>
      </c>
      <c r="F155" t="s">
        <v>1181</v>
      </c>
      <c r="H155" t="s">
        <v>87</v>
      </c>
      <c r="I155" t="s">
        <v>12</v>
      </c>
      <c r="J155" s="32">
        <v>0.77</v>
      </c>
      <c r="K155" s="7" t="s">
        <v>16</v>
      </c>
      <c r="L155" s="21" t="s">
        <v>942</v>
      </c>
      <c r="M155" s="21">
        <v>7.340858049516831E-2</v>
      </c>
      <c r="N155" s="7" t="s">
        <v>16</v>
      </c>
      <c r="O155" s="21">
        <v>5.5999999999999999E-3</v>
      </c>
    </row>
    <row r="156" spans="1:15" x14ac:dyDescent="0.2">
      <c r="A156" t="s">
        <v>943</v>
      </c>
      <c r="B156" t="s">
        <v>944</v>
      </c>
      <c r="C156" t="s">
        <v>16</v>
      </c>
      <c r="D156">
        <v>75989</v>
      </c>
      <c r="E156" t="s">
        <v>945</v>
      </c>
      <c r="F156" t="s">
        <v>1172</v>
      </c>
      <c r="H156" t="s">
        <v>86</v>
      </c>
      <c r="I156" t="s">
        <v>12</v>
      </c>
      <c r="J156" s="32">
        <v>2</v>
      </c>
      <c r="K156" s="7" t="s">
        <v>16</v>
      </c>
      <c r="L156" t="s">
        <v>946</v>
      </c>
      <c r="M156" s="21">
        <v>0.12982960328737292</v>
      </c>
      <c r="N156" s="7" t="s">
        <v>16</v>
      </c>
      <c r="O156" t="s">
        <v>67</v>
      </c>
    </row>
    <row r="157" spans="1:15" x14ac:dyDescent="0.2">
      <c r="E157" t="s">
        <v>947</v>
      </c>
      <c r="F157" t="s">
        <v>1171</v>
      </c>
      <c r="H157" t="s">
        <v>86</v>
      </c>
      <c r="I157" t="s">
        <v>12</v>
      </c>
      <c r="J157" s="32">
        <v>1.27</v>
      </c>
      <c r="K157" s="7" t="s">
        <v>16</v>
      </c>
      <c r="L157" t="s">
        <v>948</v>
      </c>
      <c r="M157" s="21">
        <v>8.9500456203510395E-2</v>
      </c>
      <c r="N157" s="7" t="s">
        <v>16</v>
      </c>
      <c r="O157" t="s">
        <v>67</v>
      </c>
    </row>
    <row r="158" spans="1:15" x14ac:dyDescent="0.2">
      <c r="E158" t="s">
        <v>949</v>
      </c>
      <c r="F158" t="s">
        <v>1171</v>
      </c>
      <c r="H158" t="s">
        <v>86</v>
      </c>
      <c r="I158" t="s">
        <v>12</v>
      </c>
      <c r="J158" s="32">
        <v>1.31</v>
      </c>
      <c r="K158" s="7" t="s">
        <v>16</v>
      </c>
      <c r="L158" t="s">
        <v>950</v>
      </c>
      <c r="M158" s="21">
        <v>9.3932810926214791E-2</v>
      </c>
      <c r="N158" s="7" t="s">
        <v>16</v>
      </c>
      <c r="O158" t="s">
        <v>67</v>
      </c>
    </row>
    <row r="159" spans="1:15" x14ac:dyDescent="0.2">
      <c r="E159" t="s">
        <v>951</v>
      </c>
      <c r="F159" t="s">
        <v>1185</v>
      </c>
      <c r="H159" t="s">
        <v>86</v>
      </c>
      <c r="I159" t="s">
        <v>12</v>
      </c>
      <c r="J159" s="32">
        <v>0.88</v>
      </c>
      <c r="K159" s="7" t="s">
        <v>16</v>
      </c>
      <c r="L159" t="s">
        <v>952</v>
      </c>
      <c r="M159" s="21">
        <v>7.3386339625626226E-2</v>
      </c>
      <c r="N159" s="7" t="s">
        <v>16</v>
      </c>
      <c r="O159">
        <v>0.13</v>
      </c>
    </row>
    <row r="160" spans="1:15" x14ac:dyDescent="0.2">
      <c r="E160" t="s">
        <v>953</v>
      </c>
      <c r="F160" t="s">
        <v>1185</v>
      </c>
      <c r="H160" t="s">
        <v>86</v>
      </c>
      <c r="I160" t="s">
        <v>12</v>
      </c>
      <c r="J160" s="32">
        <v>1</v>
      </c>
      <c r="K160" s="7" t="s">
        <v>16</v>
      </c>
      <c r="L160" t="s">
        <v>954</v>
      </c>
      <c r="M160" s="21">
        <v>8.3681981626364352E-2</v>
      </c>
      <c r="N160" s="7" t="s">
        <v>16</v>
      </c>
      <c r="O160">
        <v>0.99</v>
      </c>
    </row>
    <row r="161" spans="5:15" x14ac:dyDescent="0.2">
      <c r="E161" t="s">
        <v>955</v>
      </c>
      <c r="F161" t="s">
        <v>1185</v>
      </c>
      <c r="H161" t="s">
        <v>86</v>
      </c>
      <c r="I161" t="s">
        <v>12</v>
      </c>
      <c r="J161" s="32">
        <v>1.1399999999999999</v>
      </c>
      <c r="K161" s="7" t="s">
        <v>16</v>
      </c>
      <c r="L161" t="s">
        <v>956</v>
      </c>
      <c r="M161" s="21">
        <v>9.3971136849536382E-2</v>
      </c>
      <c r="N161" s="7" t="s">
        <v>16</v>
      </c>
      <c r="O161">
        <v>0.12</v>
      </c>
    </row>
    <row r="162" spans="5:15" x14ac:dyDescent="0.2">
      <c r="E162" t="s">
        <v>957</v>
      </c>
      <c r="F162" t="s">
        <v>1185</v>
      </c>
      <c r="H162" t="s">
        <v>86</v>
      </c>
      <c r="I162" t="s">
        <v>12</v>
      </c>
      <c r="J162" s="32">
        <v>1.1399999999999999</v>
      </c>
      <c r="K162" s="7" t="s">
        <v>16</v>
      </c>
      <c r="L162" t="s">
        <v>958</v>
      </c>
      <c r="M162" s="21">
        <v>9.9147017639407226E-2</v>
      </c>
      <c r="N162" s="7" t="s">
        <v>16</v>
      </c>
      <c r="O162">
        <v>0.15</v>
      </c>
    </row>
    <row r="163" spans="5:15" x14ac:dyDescent="0.2">
      <c r="E163" t="s">
        <v>959</v>
      </c>
      <c r="F163" t="s">
        <v>1185</v>
      </c>
      <c r="H163" t="s">
        <v>86</v>
      </c>
      <c r="I163" t="s">
        <v>12</v>
      </c>
      <c r="J163" s="32">
        <v>0.98</v>
      </c>
      <c r="K163" s="7" t="s">
        <v>16</v>
      </c>
      <c r="L163" t="s">
        <v>960</v>
      </c>
      <c r="M163" s="21">
        <v>9.4058867448306466E-2</v>
      </c>
      <c r="N163" s="7" t="s">
        <v>16</v>
      </c>
      <c r="O163">
        <v>0.81</v>
      </c>
    </row>
    <row r="164" spans="5:15" x14ac:dyDescent="0.2">
      <c r="E164" t="s">
        <v>961</v>
      </c>
      <c r="F164" t="s">
        <v>1173</v>
      </c>
      <c r="H164" t="s">
        <v>86</v>
      </c>
      <c r="I164" t="s">
        <v>12</v>
      </c>
      <c r="J164" s="32">
        <v>1</v>
      </c>
      <c r="K164" s="7" t="s">
        <v>16</v>
      </c>
      <c r="L164" t="s">
        <v>962</v>
      </c>
      <c r="M164" s="21">
        <v>1.0205442503494692E-2</v>
      </c>
      <c r="N164" s="7" t="s">
        <v>16</v>
      </c>
      <c r="O164">
        <v>0.85</v>
      </c>
    </row>
    <row r="165" spans="5:15" x14ac:dyDescent="0.2">
      <c r="E165" t="s">
        <v>963</v>
      </c>
      <c r="F165" t="s">
        <v>223</v>
      </c>
      <c r="H165" t="s">
        <v>86</v>
      </c>
      <c r="I165" t="s">
        <v>12</v>
      </c>
      <c r="J165" s="32">
        <v>0.95</v>
      </c>
      <c r="K165" s="7" t="s">
        <v>16</v>
      </c>
      <c r="L165" t="s">
        <v>964</v>
      </c>
      <c r="M165" s="21">
        <v>9.4190074056682102E-2</v>
      </c>
      <c r="N165" s="7" t="s">
        <v>16</v>
      </c>
      <c r="O165">
        <v>0.55000000000000004</v>
      </c>
    </row>
    <row r="166" spans="5:15" x14ac:dyDescent="0.2">
      <c r="E166" t="s">
        <v>965</v>
      </c>
      <c r="F166" t="s">
        <v>223</v>
      </c>
      <c r="H166" t="s">
        <v>86</v>
      </c>
      <c r="I166" t="s">
        <v>12</v>
      </c>
      <c r="J166" s="32">
        <v>1.21</v>
      </c>
      <c r="K166" s="7" t="s">
        <v>16</v>
      </c>
      <c r="L166" t="s">
        <v>966</v>
      </c>
      <c r="M166" s="21">
        <v>9.0996796853821477E-2</v>
      </c>
      <c r="N166" s="7" t="s">
        <v>16</v>
      </c>
      <c r="O166">
        <v>1.0999999999999999E-2</v>
      </c>
    </row>
    <row r="167" spans="5:15" ht="14.25" customHeight="1" x14ac:dyDescent="0.2">
      <c r="E167" t="s">
        <v>967</v>
      </c>
      <c r="F167" t="s">
        <v>1175</v>
      </c>
      <c r="H167" t="s">
        <v>86</v>
      </c>
      <c r="I167" t="s">
        <v>12</v>
      </c>
      <c r="J167" s="32">
        <v>1.32</v>
      </c>
      <c r="K167" s="7" t="s">
        <v>16</v>
      </c>
      <c r="L167" t="s">
        <v>968</v>
      </c>
      <c r="M167" s="21">
        <v>8.3665559763780512E-2</v>
      </c>
      <c r="N167" s="7" t="s">
        <v>16</v>
      </c>
      <c r="O167" t="s">
        <v>67</v>
      </c>
    </row>
    <row r="168" spans="5:15" x14ac:dyDescent="0.2">
      <c r="E168" t="s">
        <v>969</v>
      </c>
      <c r="F168" t="s">
        <v>1175</v>
      </c>
      <c r="H168" t="s">
        <v>86</v>
      </c>
      <c r="I168" t="s">
        <v>12</v>
      </c>
      <c r="J168" s="32">
        <v>0.96</v>
      </c>
      <c r="K168" s="7" t="s">
        <v>16</v>
      </c>
      <c r="L168" t="s">
        <v>970</v>
      </c>
      <c r="M168" s="21">
        <v>7.1941498415060381E-2</v>
      </c>
      <c r="N168" s="7" t="s">
        <v>16</v>
      </c>
      <c r="O168">
        <v>0.54</v>
      </c>
    </row>
    <row r="169" spans="5:15" x14ac:dyDescent="0.2">
      <c r="E169" t="s">
        <v>971</v>
      </c>
      <c r="F169" t="s">
        <v>1186</v>
      </c>
      <c r="H169" t="s">
        <v>86</v>
      </c>
      <c r="I169" t="s">
        <v>12</v>
      </c>
      <c r="J169" s="32">
        <v>1.1399999999999999</v>
      </c>
      <c r="K169" s="7" t="s">
        <v>16</v>
      </c>
      <c r="L169" t="s">
        <v>972</v>
      </c>
      <c r="M169" s="21">
        <v>7.4054114527010717E-2</v>
      </c>
      <c r="N169" s="7" t="s">
        <v>16</v>
      </c>
      <c r="O169">
        <v>4.8000000000000001E-2</v>
      </c>
    </row>
    <row r="170" spans="5:15" x14ac:dyDescent="0.2">
      <c r="E170" t="s">
        <v>973</v>
      </c>
      <c r="F170" t="s">
        <v>1186</v>
      </c>
      <c r="H170" t="s">
        <v>86</v>
      </c>
      <c r="I170" t="s">
        <v>12</v>
      </c>
      <c r="J170" s="32">
        <v>1.3</v>
      </c>
      <c r="K170" s="7" t="s">
        <v>16</v>
      </c>
      <c r="L170" t="s">
        <v>974</v>
      </c>
      <c r="M170" s="21">
        <v>9.1715824847717925E-2</v>
      </c>
      <c r="N170" s="7" t="s">
        <v>16</v>
      </c>
      <c r="O170" t="s">
        <v>67</v>
      </c>
    </row>
    <row r="171" spans="5:15" x14ac:dyDescent="0.2">
      <c r="E171" t="s">
        <v>975</v>
      </c>
      <c r="F171" t="s">
        <v>1181</v>
      </c>
      <c r="H171" t="s">
        <v>86</v>
      </c>
      <c r="I171" t="s">
        <v>12</v>
      </c>
      <c r="J171" s="32">
        <v>2.23</v>
      </c>
      <c r="K171" s="7" t="s">
        <v>16</v>
      </c>
      <c r="L171" t="s">
        <v>976</v>
      </c>
      <c r="M171" s="21">
        <v>0.20351573627621175</v>
      </c>
      <c r="N171" s="7" t="s">
        <v>16</v>
      </c>
      <c r="O171" t="s">
        <v>67</v>
      </c>
    </row>
    <row r="172" spans="5:15" x14ac:dyDescent="0.2">
      <c r="E172" t="s">
        <v>994</v>
      </c>
      <c r="F172" t="s">
        <v>1171</v>
      </c>
      <c r="H172" t="s">
        <v>86</v>
      </c>
      <c r="I172" t="s">
        <v>12</v>
      </c>
      <c r="J172" s="32">
        <v>1.31</v>
      </c>
      <c r="K172" s="7" t="s">
        <v>16</v>
      </c>
      <c r="L172" t="s">
        <v>978</v>
      </c>
      <c r="M172" s="21">
        <v>0.10424493766008074</v>
      </c>
      <c r="N172" s="7" t="s">
        <v>16</v>
      </c>
      <c r="O172" t="s">
        <v>67</v>
      </c>
    </row>
    <row r="173" spans="5:15" x14ac:dyDescent="0.2">
      <c r="E173" t="s">
        <v>979</v>
      </c>
      <c r="F173" t="s">
        <v>1171</v>
      </c>
      <c r="H173" t="s">
        <v>86</v>
      </c>
      <c r="I173" t="s">
        <v>12</v>
      </c>
      <c r="J173" s="32">
        <v>1.3</v>
      </c>
      <c r="K173" s="7" t="s">
        <v>16</v>
      </c>
      <c r="L173" t="s">
        <v>980</v>
      </c>
      <c r="M173" s="21">
        <v>0.10942469956123084</v>
      </c>
      <c r="N173" s="7" t="s">
        <v>16</v>
      </c>
      <c r="O173">
        <v>1.9E-3</v>
      </c>
    </row>
    <row r="174" spans="5:15" x14ac:dyDescent="0.2">
      <c r="E174" t="s">
        <v>951</v>
      </c>
      <c r="F174" t="s">
        <v>1185</v>
      </c>
      <c r="H174" t="s">
        <v>86</v>
      </c>
      <c r="I174" t="s">
        <v>12</v>
      </c>
      <c r="J174" s="32">
        <v>0.9</v>
      </c>
      <c r="K174" s="7" t="s">
        <v>16</v>
      </c>
      <c r="L174" t="s">
        <v>981</v>
      </c>
      <c r="M174" s="21">
        <v>8.5835150975395416E-2</v>
      </c>
      <c r="N174" s="7" t="s">
        <v>16</v>
      </c>
      <c r="O174">
        <v>0.28999999999999998</v>
      </c>
    </row>
    <row r="175" spans="5:15" ht="14.25" customHeight="1" x14ac:dyDescent="0.2">
      <c r="E175" t="s">
        <v>953</v>
      </c>
      <c r="F175" t="s">
        <v>1185</v>
      </c>
      <c r="H175" t="s">
        <v>86</v>
      </c>
      <c r="I175" t="s">
        <v>12</v>
      </c>
      <c r="J175" s="32">
        <v>1.06</v>
      </c>
      <c r="K175" s="7" t="s">
        <v>16</v>
      </c>
      <c r="L175" t="s">
        <v>982</v>
      </c>
      <c r="M175" s="21">
        <v>0.10441058009717744</v>
      </c>
      <c r="N175" s="7" t="s">
        <v>16</v>
      </c>
      <c r="O175">
        <v>0.56999999999999995</v>
      </c>
    </row>
    <row r="176" spans="5:15" x14ac:dyDescent="0.2">
      <c r="E176" t="s">
        <v>955</v>
      </c>
      <c r="F176" t="s">
        <v>1185</v>
      </c>
      <c r="H176" t="s">
        <v>86</v>
      </c>
      <c r="I176" t="s">
        <v>12</v>
      </c>
      <c r="J176" s="32">
        <v>1.1399999999999999</v>
      </c>
      <c r="K176" s="7" t="s">
        <v>16</v>
      </c>
      <c r="L176" t="s">
        <v>983</v>
      </c>
      <c r="M176" s="21">
        <v>0.2166500926540729</v>
      </c>
      <c r="N176" s="7" t="s">
        <v>16</v>
      </c>
      <c r="O176">
        <v>0.18</v>
      </c>
    </row>
    <row r="177" spans="5:15" x14ac:dyDescent="0.2">
      <c r="E177" t="s">
        <v>957</v>
      </c>
      <c r="F177" t="s">
        <v>1185</v>
      </c>
      <c r="H177" t="s">
        <v>86</v>
      </c>
      <c r="I177" t="s">
        <v>12</v>
      </c>
      <c r="J177" s="32">
        <v>1.1599999999999999</v>
      </c>
      <c r="K177" s="7" t="s">
        <v>16</v>
      </c>
      <c r="L177" t="s">
        <v>984</v>
      </c>
      <c r="M177" s="21">
        <v>0.11894443687776404</v>
      </c>
      <c r="N177" s="7" t="s">
        <v>16</v>
      </c>
      <c r="O177">
        <v>0.16</v>
      </c>
    </row>
    <row r="178" spans="5:15" x14ac:dyDescent="0.2">
      <c r="E178" t="s">
        <v>959</v>
      </c>
      <c r="F178" t="s">
        <v>1185</v>
      </c>
      <c r="H178" t="s">
        <v>86</v>
      </c>
      <c r="I178" t="s">
        <v>12</v>
      </c>
      <c r="J178" s="32">
        <v>0.99</v>
      </c>
      <c r="K178" s="7" t="s">
        <v>16</v>
      </c>
      <c r="L178" t="s">
        <v>985</v>
      </c>
      <c r="M178" s="21">
        <v>0.1118135555806995</v>
      </c>
      <c r="N178" s="7" t="s">
        <v>16</v>
      </c>
      <c r="O178">
        <v>0.89</v>
      </c>
    </row>
    <row r="179" spans="5:15" x14ac:dyDescent="0.2">
      <c r="E179" t="s">
        <v>961</v>
      </c>
      <c r="F179" t="s">
        <v>1173</v>
      </c>
      <c r="H179" t="s">
        <v>86</v>
      </c>
      <c r="I179" t="s">
        <v>12</v>
      </c>
      <c r="J179" s="32">
        <v>1.01</v>
      </c>
      <c r="K179" s="7" t="s">
        <v>16</v>
      </c>
      <c r="L179" t="s">
        <v>986</v>
      </c>
      <c r="M179" s="21">
        <v>1.2694836606339441E-2</v>
      </c>
      <c r="N179" s="7" t="s">
        <v>16</v>
      </c>
      <c r="O179">
        <v>0.26</v>
      </c>
    </row>
    <row r="180" spans="5:15" x14ac:dyDescent="0.2">
      <c r="E180" t="s">
        <v>963</v>
      </c>
      <c r="F180" t="s">
        <v>223</v>
      </c>
      <c r="H180" t="s">
        <v>86</v>
      </c>
      <c r="I180" t="s">
        <v>12</v>
      </c>
      <c r="J180" s="32">
        <v>0.93</v>
      </c>
      <c r="K180" s="7" t="s">
        <v>16</v>
      </c>
      <c r="L180" t="s">
        <v>987</v>
      </c>
      <c r="M180" s="21">
        <v>9.6194528199130824E-2</v>
      </c>
      <c r="N180" s="7" t="s">
        <v>16</v>
      </c>
      <c r="O180">
        <v>0.49</v>
      </c>
    </row>
    <row r="181" spans="5:15" x14ac:dyDescent="0.2">
      <c r="E181" t="s">
        <v>965</v>
      </c>
      <c r="F181" t="s">
        <v>223</v>
      </c>
      <c r="H181" t="s">
        <v>86</v>
      </c>
      <c r="I181" t="s">
        <v>12</v>
      </c>
      <c r="J181" s="32">
        <v>1.1100000000000001</v>
      </c>
      <c r="K181" s="7" t="s">
        <v>16</v>
      </c>
      <c r="L181" t="s">
        <v>988</v>
      </c>
      <c r="M181" s="21">
        <v>0.10130155482806955</v>
      </c>
      <c r="N181" s="7" t="s">
        <v>16</v>
      </c>
      <c r="O181">
        <v>0.23</v>
      </c>
    </row>
    <row r="182" spans="5:15" x14ac:dyDescent="0.2">
      <c r="E182" t="s">
        <v>967</v>
      </c>
      <c r="F182" t="s">
        <v>1175</v>
      </c>
      <c r="H182" t="s">
        <v>86</v>
      </c>
      <c r="I182" t="s">
        <v>12</v>
      </c>
      <c r="J182" s="32">
        <v>1.33</v>
      </c>
      <c r="K182" s="7" t="s">
        <v>16</v>
      </c>
      <c r="L182" t="s">
        <v>989</v>
      </c>
      <c r="M182" s="21">
        <v>9.9078375124235826E-2</v>
      </c>
      <c r="N182" s="7" t="s">
        <v>16</v>
      </c>
      <c r="O182" t="s">
        <v>67</v>
      </c>
    </row>
    <row r="183" spans="5:15" x14ac:dyDescent="0.2">
      <c r="E183" t="s">
        <v>969</v>
      </c>
      <c r="F183" t="s">
        <v>1175</v>
      </c>
      <c r="H183" t="s">
        <v>86</v>
      </c>
      <c r="I183" t="s">
        <v>12</v>
      </c>
      <c r="J183" s="32">
        <v>0.86</v>
      </c>
      <c r="K183" s="7" t="s">
        <v>16</v>
      </c>
      <c r="L183" t="s">
        <v>990</v>
      </c>
      <c r="M183" s="21">
        <v>7.6414223742516732E-2</v>
      </c>
      <c r="N183" s="7" t="s">
        <v>16</v>
      </c>
      <c r="O183">
        <v>8.5000000000000006E-2</v>
      </c>
    </row>
    <row r="184" spans="5:15" x14ac:dyDescent="0.2">
      <c r="E184" t="s">
        <v>971</v>
      </c>
      <c r="F184" t="s">
        <v>1186</v>
      </c>
      <c r="H184" t="s">
        <v>86</v>
      </c>
      <c r="I184" t="s">
        <v>12</v>
      </c>
      <c r="J184" s="32">
        <v>1.08</v>
      </c>
      <c r="K184" s="7" t="s">
        <v>16</v>
      </c>
      <c r="L184" t="s">
        <v>991</v>
      </c>
      <c r="M184" s="21">
        <v>7.8525630468081919E-2</v>
      </c>
      <c r="N184" s="7" t="s">
        <v>16</v>
      </c>
      <c r="O184">
        <v>0.28999999999999998</v>
      </c>
    </row>
    <row r="185" spans="5:15" x14ac:dyDescent="0.2">
      <c r="E185" t="s">
        <v>973</v>
      </c>
      <c r="F185" t="s">
        <v>1186</v>
      </c>
      <c r="H185" t="s">
        <v>86</v>
      </c>
      <c r="I185" t="s">
        <v>12</v>
      </c>
      <c r="J185" s="32">
        <v>1.28</v>
      </c>
      <c r="K185" s="7" t="s">
        <v>16</v>
      </c>
      <c r="L185" t="s">
        <v>992</v>
      </c>
      <c r="M185" s="21">
        <v>0.10726663411331787</v>
      </c>
      <c r="N185" s="7" t="s">
        <v>16</v>
      </c>
      <c r="O185">
        <v>3.5999999999999999E-3</v>
      </c>
    </row>
    <row r="186" spans="5:15" x14ac:dyDescent="0.2">
      <c r="E186" t="s">
        <v>975</v>
      </c>
      <c r="F186" t="s">
        <v>1181</v>
      </c>
      <c r="H186" t="s">
        <v>86</v>
      </c>
      <c r="I186" t="s">
        <v>12</v>
      </c>
      <c r="J186" s="32">
        <v>2.16</v>
      </c>
      <c r="K186" s="7" t="s">
        <v>16</v>
      </c>
      <c r="L186" t="s">
        <v>993</v>
      </c>
      <c r="M186" s="21">
        <v>0.24847024528556913</v>
      </c>
      <c r="N186" s="7" t="s">
        <v>16</v>
      </c>
      <c r="O186" t="s">
        <v>67</v>
      </c>
    </row>
    <row r="187" spans="5:15" x14ac:dyDescent="0.2">
      <c r="E187" t="s">
        <v>1010</v>
      </c>
      <c r="F187" t="s">
        <v>1171</v>
      </c>
      <c r="H187" t="s">
        <v>86</v>
      </c>
      <c r="I187" t="s">
        <v>12</v>
      </c>
      <c r="J187" s="32">
        <v>1.17</v>
      </c>
      <c r="K187" s="7" t="s">
        <v>16</v>
      </c>
      <c r="L187" t="s">
        <v>995</v>
      </c>
      <c r="M187" s="21">
        <v>0.1708794529445043</v>
      </c>
      <c r="N187" s="7" t="s">
        <v>16</v>
      </c>
      <c r="O187">
        <v>0.27</v>
      </c>
    </row>
    <row r="188" spans="5:15" x14ac:dyDescent="0.2">
      <c r="E188" t="s">
        <v>979</v>
      </c>
      <c r="F188" t="s">
        <v>1171</v>
      </c>
      <c r="H188" t="s">
        <v>86</v>
      </c>
      <c r="I188" t="s">
        <v>12</v>
      </c>
      <c r="J188" s="32">
        <v>1.4</v>
      </c>
      <c r="K188" s="7" t="s">
        <v>16</v>
      </c>
      <c r="L188" t="s">
        <v>996</v>
      </c>
      <c r="M188" s="21">
        <v>0.19166332799268382</v>
      </c>
      <c r="N188" s="7" t="s">
        <v>16</v>
      </c>
      <c r="O188">
        <v>1.6E-2</v>
      </c>
    </row>
    <row r="189" spans="5:15" x14ac:dyDescent="0.2">
      <c r="E189" t="s">
        <v>951</v>
      </c>
      <c r="F189" t="s">
        <v>1185</v>
      </c>
      <c r="H189" t="s">
        <v>86</v>
      </c>
      <c r="I189" t="s">
        <v>12</v>
      </c>
      <c r="J189" s="32">
        <v>0.83</v>
      </c>
      <c r="K189" s="7" t="s">
        <v>16</v>
      </c>
      <c r="L189" t="s">
        <v>997</v>
      </c>
      <c r="M189" s="21">
        <v>0.12521237846619962</v>
      </c>
      <c r="N189" s="7" t="s">
        <v>16</v>
      </c>
      <c r="O189">
        <v>0.23</v>
      </c>
    </row>
    <row r="190" spans="5:15" x14ac:dyDescent="0.2">
      <c r="E190" t="s">
        <v>953</v>
      </c>
      <c r="F190" t="s">
        <v>1185</v>
      </c>
      <c r="H190" t="s">
        <v>86</v>
      </c>
      <c r="I190" t="s">
        <v>12</v>
      </c>
      <c r="J190" s="32">
        <v>0.85</v>
      </c>
      <c r="K190" s="7" t="s">
        <v>16</v>
      </c>
      <c r="L190" t="s">
        <v>998</v>
      </c>
      <c r="M190" s="21">
        <v>0.13769990236983798</v>
      </c>
      <c r="N190" s="7" t="s">
        <v>16</v>
      </c>
      <c r="O190">
        <v>0.31</v>
      </c>
    </row>
    <row r="191" spans="5:15" x14ac:dyDescent="0.2">
      <c r="E191" t="s">
        <v>955</v>
      </c>
      <c r="F191" t="s">
        <v>1185</v>
      </c>
      <c r="H191" t="s">
        <v>86</v>
      </c>
      <c r="I191" t="s">
        <v>12</v>
      </c>
      <c r="J191" s="32">
        <v>1.1399999999999999</v>
      </c>
      <c r="K191" s="7" t="s">
        <v>16</v>
      </c>
      <c r="L191" t="s">
        <v>999</v>
      </c>
      <c r="M191" s="21">
        <v>0.17815650066493971</v>
      </c>
      <c r="N191" s="7" t="s">
        <v>16</v>
      </c>
      <c r="O191">
        <v>0.4</v>
      </c>
    </row>
    <row r="192" spans="5:15" x14ac:dyDescent="0.2">
      <c r="E192" t="s">
        <v>957</v>
      </c>
      <c r="F192" t="s">
        <v>1185</v>
      </c>
      <c r="H192" t="s">
        <v>86</v>
      </c>
      <c r="I192" t="s">
        <v>12</v>
      </c>
      <c r="J192" s="32">
        <v>1.0900000000000001</v>
      </c>
      <c r="K192" s="7" t="s">
        <v>16</v>
      </c>
      <c r="L192" t="s">
        <v>1000</v>
      </c>
      <c r="M192" s="21">
        <v>0.18013695483143216</v>
      </c>
      <c r="N192" s="7" t="s">
        <v>16</v>
      </c>
      <c r="O192">
        <v>0.62</v>
      </c>
    </row>
    <row r="193" spans="1:15" x14ac:dyDescent="0.2">
      <c r="E193" t="s">
        <v>959</v>
      </c>
      <c r="F193" t="s">
        <v>1185</v>
      </c>
      <c r="H193" t="s">
        <v>86</v>
      </c>
      <c r="I193" t="s">
        <v>12</v>
      </c>
      <c r="J193" s="32">
        <v>0.95</v>
      </c>
      <c r="K193" s="7" t="s">
        <v>16</v>
      </c>
      <c r="L193" t="s">
        <v>1001</v>
      </c>
      <c r="M193" s="21">
        <v>0.17699231495194248</v>
      </c>
      <c r="N193" s="7" t="s">
        <v>16</v>
      </c>
      <c r="O193">
        <v>0.79</v>
      </c>
    </row>
    <row r="194" spans="1:15" x14ac:dyDescent="0.2">
      <c r="E194" t="s">
        <v>961</v>
      </c>
      <c r="F194" t="s">
        <v>1173</v>
      </c>
      <c r="H194" t="s">
        <v>86</v>
      </c>
      <c r="I194" t="s">
        <v>12</v>
      </c>
      <c r="J194" s="32">
        <v>0.97</v>
      </c>
      <c r="K194" s="7" t="s">
        <v>16</v>
      </c>
      <c r="L194" t="s">
        <v>1002</v>
      </c>
      <c r="M194" s="21">
        <v>1.53110055118737E-2</v>
      </c>
      <c r="N194" s="7" t="s">
        <v>16</v>
      </c>
      <c r="O194">
        <v>4.9000000000000002E-2</v>
      </c>
    </row>
    <row r="195" spans="1:15" x14ac:dyDescent="0.2">
      <c r="E195" t="s">
        <v>963</v>
      </c>
      <c r="F195" t="s">
        <v>223</v>
      </c>
      <c r="H195" t="s">
        <v>86</v>
      </c>
      <c r="I195" t="s">
        <v>12</v>
      </c>
      <c r="J195" s="32">
        <v>1.03</v>
      </c>
      <c r="K195" s="7" t="s">
        <v>16</v>
      </c>
      <c r="L195" t="s">
        <v>1003</v>
      </c>
      <c r="M195" s="21">
        <v>0.18212795815733257</v>
      </c>
      <c r="N195" s="7" t="s">
        <v>16</v>
      </c>
      <c r="O195">
        <v>0.86</v>
      </c>
    </row>
    <row r="196" spans="1:15" x14ac:dyDescent="0.2">
      <c r="E196" t="s">
        <v>965</v>
      </c>
      <c r="F196" t="s">
        <v>223</v>
      </c>
      <c r="H196" t="s">
        <v>86</v>
      </c>
      <c r="I196" t="s">
        <v>12</v>
      </c>
      <c r="J196" s="32">
        <v>1.58</v>
      </c>
      <c r="K196" s="7" t="s">
        <v>16</v>
      </c>
      <c r="L196" t="s">
        <v>1004</v>
      </c>
      <c r="M196" s="21">
        <v>0.23084712545305319</v>
      </c>
      <c r="N196" s="7" t="s">
        <v>16</v>
      </c>
      <c r="O196">
        <v>2E-3</v>
      </c>
    </row>
    <row r="197" spans="1:15" x14ac:dyDescent="0.2">
      <c r="E197" t="s">
        <v>967</v>
      </c>
      <c r="F197" t="s">
        <v>1175</v>
      </c>
      <c r="H197" t="s">
        <v>86</v>
      </c>
      <c r="I197" t="s">
        <v>12</v>
      </c>
      <c r="J197" s="32">
        <v>1.3</v>
      </c>
      <c r="K197" s="7" t="s">
        <v>16</v>
      </c>
      <c r="L197" t="s">
        <v>1005</v>
      </c>
      <c r="M197" s="21">
        <v>0.16350186195720137</v>
      </c>
      <c r="N197" s="7" t="s">
        <v>16</v>
      </c>
      <c r="O197">
        <v>3.5999999999999997E-2</v>
      </c>
    </row>
    <row r="198" spans="1:15" x14ac:dyDescent="0.2">
      <c r="E198" t="s">
        <v>969</v>
      </c>
      <c r="F198" t="s">
        <v>1175</v>
      </c>
      <c r="H198" t="s">
        <v>86</v>
      </c>
      <c r="I198" t="s">
        <v>12</v>
      </c>
      <c r="J198" s="32">
        <v>1.2</v>
      </c>
      <c r="K198" s="7" t="s">
        <v>16</v>
      </c>
      <c r="L198" t="s">
        <v>1006</v>
      </c>
      <c r="M198" s="21">
        <v>0.15637519094877267</v>
      </c>
      <c r="N198" s="7" t="s">
        <v>16</v>
      </c>
      <c r="O198">
        <v>0.17</v>
      </c>
    </row>
    <row r="199" spans="1:15" x14ac:dyDescent="0.2">
      <c r="E199" t="s">
        <v>971</v>
      </c>
      <c r="F199" t="s">
        <v>1186</v>
      </c>
      <c r="H199" t="s">
        <v>86</v>
      </c>
      <c r="I199" t="s">
        <v>12</v>
      </c>
      <c r="J199" s="32">
        <v>1.33</v>
      </c>
      <c r="K199" s="7" t="s">
        <v>16</v>
      </c>
      <c r="L199" t="s">
        <v>1007</v>
      </c>
      <c r="M199" s="21">
        <v>0.17925101505458305</v>
      </c>
      <c r="N199" s="7" t="s">
        <v>16</v>
      </c>
      <c r="O199">
        <v>3.4000000000000002E-2</v>
      </c>
    </row>
    <row r="200" spans="1:15" x14ac:dyDescent="0.2">
      <c r="E200" t="s">
        <v>973</v>
      </c>
      <c r="F200" t="s">
        <v>1186</v>
      </c>
      <c r="H200" t="s">
        <v>86</v>
      </c>
      <c r="I200" t="s">
        <v>12</v>
      </c>
      <c r="J200" s="32">
        <v>1.34</v>
      </c>
      <c r="K200" s="7" t="s">
        <v>16</v>
      </c>
      <c r="L200" t="s">
        <v>1008</v>
      </c>
      <c r="M200" s="21">
        <v>0.17396095198407768</v>
      </c>
      <c r="N200" s="7" t="s">
        <v>16</v>
      </c>
      <c r="O200">
        <v>2.5000000000000001E-2</v>
      </c>
    </row>
    <row r="201" spans="1:15" x14ac:dyDescent="0.2">
      <c r="E201" t="s">
        <v>975</v>
      </c>
      <c r="F201" t="s">
        <v>1181</v>
      </c>
      <c r="H201" t="s">
        <v>86</v>
      </c>
      <c r="I201" t="s">
        <v>12</v>
      </c>
      <c r="J201" s="32">
        <v>2.1800000000000002</v>
      </c>
      <c r="K201" s="7" t="s">
        <v>16</v>
      </c>
      <c r="L201" t="s">
        <v>1009</v>
      </c>
      <c r="M201" s="21">
        <v>0.33865359560212294</v>
      </c>
      <c r="N201" s="7" t="s">
        <v>16</v>
      </c>
      <c r="O201" t="s">
        <v>67</v>
      </c>
    </row>
    <row r="202" spans="1:15" x14ac:dyDescent="0.2">
      <c r="A202" t="s">
        <v>1012</v>
      </c>
      <c r="B202" t="s">
        <v>1013</v>
      </c>
      <c r="C202" t="s">
        <v>16</v>
      </c>
      <c r="D202">
        <v>172</v>
      </c>
      <c r="E202" t="s">
        <v>1014</v>
      </c>
      <c r="F202" t="s">
        <v>1175</v>
      </c>
      <c r="H202" t="s">
        <v>87</v>
      </c>
      <c r="I202" t="s">
        <v>13</v>
      </c>
      <c r="J202" s="32">
        <v>1.5229999999999999</v>
      </c>
      <c r="K202" s="7" t="s">
        <v>16</v>
      </c>
      <c r="M202" s="21">
        <v>0.183</v>
      </c>
      <c r="N202" s="7" t="s">
        <v>16</v>
      </c>
      <c r="O202" s="25">
        <v>0.02</v>
      </c>
    </row>
    <row r="203" spans="1:15" x14ac:dyDescent="0.2">
      <c r="E203" t="s">
        <v>1015</v>
      </c>
      <c r="F203" t="s">
        <v>223</v>
      </c>
      <c r="H203" t="s">
        <v>87</v>
      </c>
      <c r="I203" t="s">
        <v>13</v>
      </c>
      <c r="J203" s="32">
        <v>0.04</v>
      </c>
      <c r="K203" s="7" t="s">
        <v>16</v>
      </c>
      <c r="M203" s="21">
        <v>1.6120000000000001</v>
      </c>
      <c r="N203" s="7" t="s">
        <v>16</v>
      </c>
      <c r="O203" s="25">
        <v>4.4999999999999998E-2</v>
      </c>
    </row>
    <row r="204" spans="1:15" x14ac:dyDescent="0.2">
      <c r="E204" t="s">
        <v>1016</v>
      </c>
      <c r="F204" t="s">
        <v>1175</v>
      </c>
      <c r="H204" t="s">
        <v>87</v>
      </c>
      <c r="I204" t="s">
        <v>13</v>
      </c>
      <c r="J204" s="32">
        <v>1.7110000000000001</v>
      </c>
      <c r="K204" s="7" t="s">
        <v>16</v>
      </c>
      <c r="M204" s="21">
        <v>0.63200000000000001</v>
      </c>
      <c r="N204" s="7" t="s">
        <v>16</v>
      </c>
      <c r="O204" s="25">
        <v>0.18</v>
      </c>
    </row>
    <row r="205" spans="1:15" x14ac:dyDescent="0.2">
      <c r="E205" t="s">
        <v>1017</v>
      </c>
      <c r="F205" t="s">
        <v>1175</v>
      </c>
      <c r="H205" t="s">
        <v>87</v>
      </c>
      <c r="I205" t="s">
        <v>13</v>
      </c>
      <c r="J205" s="32">
        <v>0.91100000000000003</v>
      </c>
      <c r="K205" s="7" t="s">
        <v>16</v>
      </c>
      <c r="M205" s="21">
        <v>0.09</v>
      </c>
      <c r="N205" s="7" t="s">
        <v>16</v>
      </c>
      <c r="O205" s="25">
        <v>0.3</v>
      </c>
    </row>
    <row r="206" spans="1:15" ht="14.25" customHeight="1" x14ac:dyDescent="0.2">
      <c r="E206" t="s">
        <v>1018</v>
      </c>
      <c r="F206" t="s">
        <v>1175</v>
      </c>
      <c r="H206" t="s">
        <v>87</v>
      </c>
      <c r="I206" t="s">
        <v>13</v>
      </c>
      <c r="J206" s="32">
        <v>0.96399999999999997</v>
      </c>
      <c r="K206" s="7" t="s">
        <v>16</v>
      </c>
      <c r="M206" s="21">
        <v>4.2999999999999997E-2</v>
      </c>
      <c r="N206" s="7" t="s">
        <v>16</v>
      </c>
      <c r="O206" s="25">
        <v>0.4</v>
      </c>
    </row>
    <row r="207" spans="1:15" x14ac:dyDescent="0.2">
      <c r="E207" t="s">
        <v>1019</v>
      </c>
      <c r="F207" t="s">
        <v>1172</v>
      </c>
      <c r="H207" t="s">
        <v>87</v>
      </c>
      <c r="I207" t="s">
        <v>13</v>
      </c>
      <c r="J207" s="32">
        <v>2.7080000000000002</v>
      </c>
      <c r="K207" s="7" t="s">
        <v>16</v>
      </c>
      <c r="M207" s="21">
        <v>1.266</v>
      </c>
      <c r="N207" s="7" t="s">
        <v>16</v>
      </c>
      <c r="O207" s="25">
        <v>0.4</v>
      </c>
    </row>
    <row r="208" spans="1:15" x14ac:dyDescent="0.2">
      <c r="E208" t="s">
        <v>1020</v>
      </c>
      <c r="F208" t="s">
        <v>1185</v>
      </c>
      <c r="H208" t="s">
        <v>87</v>
      </c>
      <c r="I208" t="s">
        <v>13</v>
      </c>
      <c r="J208" s="32">
        <v>0.90500000000000003</v>
      </c>
      <c r="K208" s="7" t="s">
        <v>16</v>
      </c>
      <c r="M208" s="21">
        <v>0.20599999999999999</v>
      </c>
      <c r="N208" s="7" t="s">
        <v>16</v>
      </c>
      <c r="O208" s="25">
        <v>0.6</v>
      </c>
    </row>
    <row r="209" spans="1:16" x14ac:dyDescent="0.2">
      <c r="E209" t="s">
        <v>251</v>
      </c>
      <c r="F209" t="s">
        <v>1171</v>
      </c>
      <c r="H209" t="s">
        <v>87</v>
      </c>
      <c r="I209" t="s">
        <v>13</v>
      </c>
      <c r="J209" s="32">
        <v>1.0209999999999999</v>
      </c>
      <c r="K209" s="7" t="s">
        <v>16</v>
      </c>
      <c r="M209" s="21">
        <v>8.5000000000000006E-2</v>
      </c>
      <c r="N209" s="7" t="s">
        <v>16</v>
      </c>
      <c r="O209" s="25">
        <v>0.8</v>
      </c>
    </row>
    <row r="210" spans="1:16" x14ac:dyDescent="0.2">
      <c r="E210" t="s">
        <v>1021</v>
      </c>
      <c r="F210" t="s">
        <v>1175</v>
      </c>
      <c r="H210" t="s">
        <v>87</v>
      </c>
      <c r="I210" t="s">
        <v>13</v>
      </c>
      <c r="J210" s="32">
        <v>1.153</v>
      </c>
      <c r="K210" s="7" t="s">
        <v>16</v>
      </c>
      <c r="M210" s="21">
        <v>2.94</v>
      </c>
      <c r="N210" s="7" t="s">
        <v>16</v>
      </c>
      <c r="O210" s="25">
        <v>0.9</v>
      </c>
    </row>
    <row r="211" spans="1:16" x14ac:dyDescent="0.2">
      <c r="A211" s="38" t="s">
        <v>1022</v>
      </c>
      <c r="B211" t="s">
        <v>1023</v>
      </c>
      <c r="C211" t="s">
        <v>16</v>
      </c>
      <c r="D211">
        <v>13804</v>
      </c>
      <c r="E211" t="s">
        <v>1028</v>
      </c>
      <c r="F211" t="s">
        <v>1172</v>
      </c>
      <c r="H211" t="s">
        <v>86</v>
      </c>
      <c r="I211" t="s">
        <v>12</v>
      </c>
      <c r="J211" s="32">
        <v>1.37</v>
      </c>
      <c r="K211" s="7" t="s">
        <v>16</v>
      </c>
      <c r="L211" t="s">
        <v>1024</v>
      </c>
      <c r="M211">
        <v>7.6100000000000001E-2</v>
      </c>
      <c r="N211" s="7" t="s">
        <v>16</v>
      </c>
      <c r="O211" s="25" t="s">
        <v>67</v>
      </c>
      <c r="P211" t="s">
        <v>1199</v>
      </c>
    </row>
    <row r="212" spans="1:16" x14ac:dyDescent="0.2">
      <c r="E212" t="s">
        <v>1029</v>
      </c>
      <c r="F212" t="s">
        <v>1171</v>
      </c>
      <c r="H212" t="s">
        <v>86</v>
      </c>
      <c r="I212" t="s">
        <v>12</v>
      </c>
      <c r="J212" s="32">
        <v>1.27</v>
      </c>
      <c r="K212" s="7" t="s">
        <v>16</v>
      </c>
      <c r="L212" t="s">
        <v>1025</v>
      </c>
      <c r="M212">
        <v>9.7699999999999995E-2</v>
      </c>
      <c r="N212" s="7" t="s">
        <v>16</v>
      </c>
      <c r="O212">
        <v>1.44E-2</v>
      </c>
    </row>
    <row r="213" spans="1:16" x14ac:dyDescent="0.2">
      <c r="E213" t="s">
        <v>1030</v>
      </c>
      <c r="F213" t="s">
        <v>1171</v>
      </c>
      <c r="H213" t="s">
        <v>86</v>
      </c>
      <c r="I213" t="s">
        <v>12</v>
      </c>
      <c r="J213" s="32">
        <v>2.08</v>
      </c>
      <c r="K213" s="7" t="s">
        <v>16</v>
      </c>
      <c r="L213" t="s">
        <v>1026</v>
      </c>
      <c r="M213">
        <v>0.111</v>
      </c>
      <c r="N213" s="7" t="s">
        <v>16</v>
      </c>
      <c r="O213" s="25" t="s">
        <v>66</v>
      </c>
    </row>
    <row r="214" spans="1:16" x14ac:dyDescent="0.2">
      <c r="E214" t="s">
        <v>1031</v>
      </c>
      <c r="F214" t="s">
        <v>1171</v>
      </c>
      <c r="H214" t="s">
        <v>86</v>
      </c>
      <c r="I214" t="s">
        <v>12</v>
      </c>
      <c r="J214" s="32">
        <v>3.18</v>
      </c>
      <c r="K214" s="7" t="s">
        <v>16</v>
      </c>
      <c r="L214" t="s">
        <v>1027</v>
      </c>
      <c r="M214">
        <v>0.28489999999999999</v>
      </c>
      <c r="N214" s="7" t="s">
        <v>16</v>
      </c>
      <c r="O214" s="25" t="s">
        <v>66</v>
      </c>
    </row>
    <row r="215" spans="1:16" x14ac:dyDescent="0.2">
      <c r="E215" t="s">
        <v>1041</v>
      </c>
      <c r="F215" t="s">
        <v>1185</v>
      </c>
      <c r="H215" t="s">
        <v>86</v>
      </c>
      <c r="I215" t="s">
        <v>12</v>
      </c>
      <c r="J215" s="32">
        <v>0.71</v>
      </c>
      <c r="K215" s="7" t="s">
        <v>16</v>
      </c>
      <c r="L215" t="s">
        <v>1032</v>
      </c>
      <c r="M215">
        <v>0.10050000000000001</v>
      </c>
      <c r="N215" s="7" t="s">
        <v>16</v>
      </c>
      <c r="O215" s="25" t="s">
        <v>66</v>
      </c>
    </row>
    <row r="216" spans="1:16" x14ac:dyDescent="0.2">
      <c r="E216" t="s">
        <v>1042</v>
      </c>
      <c r="F216" t="s">
        <v>1185</v>
      </c>
      <c r="H216" t="s">
        <v>86</v>
      </c>
      <c r="I216" t="s">
        <v>12</v>
      </c>
      <c r="J216" s="32">
        <v>0.59</v>
      </c>
      <c r="K216" s="7" t="s">
        <v>16</v>
      </c>
      <c r="L216" t="s">
        <v>1033</v>
      </c>
      <c r="M216">
        <v>9.4600000000000004E-2</v>
      </c>
      <c r="N216" s="7" t="s">
        <v>16</v>
      </c>
      <c r="O216" s="25" t="s">
        <v>66</v>
      </c>
    </row>
    <row r="217" spans="1:16" x14ac:dyDescent="0.2">
      <c r="E217" t="s">
        <v>1043</v>
      </c>
      <c r="F217" t="s">
        <v>1175</v>
      </c>
      <c r="H217" t="s">
        <v>86</v>
      </c>
      <c r="I217" t="s">
        <v>12</v>
      </c>
      <c r="J217" s="32">
        <v>1.45</v>
      </c>
      <c r="K217" s="7" t="s">
        <v>16</v>
      </c>
      <c r="L217" t="s">
        <v>1044</v>
      </c>
      <c r="M217">
        <v>9.1200000000000003E-2</v>
      </c>
      <c r="N217" s="7" t="s">
        <v>16</v>
      </c>
      <c r="O217" s="25" t="s">
        <v>66</v>
      </c>
    </row>
    <row r="218" spans="1:16" x14ac:dyDescent="0.2">
      <c r="E218" t="s">
        <v>1034</v>
      </c>
      <c r="F218" t="s">
        <v>1175</v>
      </c>
      <c r="H218" t="s">
        <v>86</v>
      </c>
      <c r="I218" t="s">
        <v>12</v>
      </c>
      <c r="J218" s="32">
        <v>1.4</v>
      </c>
      <c r="K218" s="7" t="s">
        <v>16</v>
      </c>
      <c r="L218" t="s">
        <v>1045</v>
      </c>
      <c r="M218">
        <v>9.6000000000000002E-2</v>
      </c>
      <c r="N218" s="7" t="s">
        <v>16</v>
      </c>
      <c r="O218" s="25" t="s">
        <v>66</v>
      </c>
    </row>
    <row r="219" spans="1:16" x14ac:dyDescent="0.2">
      <c r="E219" t="s">
        <v>1035</v>
      </c>
      <c r="F219" t="s">
        <v>1175</v>
      </c>
      <c r="H219" t="s">
        <v>86</v>
      </c>
      <c r="I219" t="s">
        <v>12</v>
      </c>
      <c r="J219" s="32">
        <v>0.87</v>
      </c>
      <c r="K219" s="7" t="s">
        <v>16</v>
      </c>
      <c r="L219" t="s">
        <v>1046</v>
      </c>
      <c r="M219">
        <v>0.35949999999999999</v>
      </c>
      <c r="N219" s="7" t="s">
        <v>16</v>
      </c>
      <c r="O219" s="25">
        <v>0.69</v>
      </c>
    </row>
    <row r="220" spans="1:16" x14ac:dyDescent="0.2">
      <c r="E220" t="s">
        <v>1037</v>
      </c>
      <c r="F220" t="s">
        <v>1175</v>
      </c>
      <c r="H220" t="s">
        <v>86</v>
      </c>
      <c r="I220" t="s">
        <v>12</v>
      </c>
      <c r="J220" s="32">
        <v>1.45</v>
      </c>
      <c r="K220" s="7" t="s">
        <v>16</v>
      </c>
      <c r="L220" t="s">
        <v>1047</v>
      </c>
      <c r="M220">
        <v>0.15440000000000001</v>
      </c>
      <c r="N220" s="7" t="s">
        <v>16</v>
      </c>
      <c r="O220" s="25">
        <v>0.02</v>
      </c>
    </row>
    <row r="221" spans="1:16" x14ac:dyDescent="0.2">
      <c r="E221" t="s">
        <v>1036</v>
      </c>
      <c r="F221" t="s">
        <v>1175</v>
      </c>
      <c r="H221" t="s">
        <v>86</v>
      </c>
      <c r="I221" t="s">
        <v>12</v>
      </c>
      <c r="J221" s="32">
        <v>1.44</v>
      </c>
      <c r="K221" s="7" t="s">
        <v>16</v>
      </c>
      <c r="L221" t="s">
        <v>1048</v>
      </c>
      <c r="M221">
        <v>0.11210000000000001</v>
      </c>
      <c r="N221" s="7" t="s">
        <v>16</v>
      </c>
      <c r="O221" s="25">
        <v>1E-3</v>
      </c>
    </row>
    <row r="222" spans="1:16" x14ac:dyDescent="0.2">
      <c r="E222" t="s">
        <v>1038</v>
      </c>
      <c r="F222" t="s">
        <v>1175</v>
      </c>
      <c r="H222" t="s">
        <v>86</v>
      </c>
      <c r="I222" t="s">
        <v>12</v>
      </c>
      <c r="J222" s="32">
        <v>1.88</v>
      </c>
      <c r="K222" s="7" t="s">
        <v>16</v>
      </c>
      <c r="L222" t="s">
        <v>1049</v>
      </c>
      <c r="M222">
        <v>0.17680000000000001</v>
      </c>
      <c r="N222" s="7" t="s">
        <v>16</v>
      </c>
      <c r="O222" s="25" t="s">
        <v>66</v>
      </c>
    </row>
    <row r="223" spans="1:16" x14ac:dyDescent="0.2">
      <c r="E223" t="s">
        <v>1039</v>
      </c>
      <c r="F223" t="s">
        <v>1175</v>
      </c>
      <c r="H223" t="s">
        <v>86</v>
      </c>
      <c r="I223" t="s">
        <v>12</v>
      </c>
      <c r="J223" s="32">
        <v>1.0900000000000001</v>
      </c>
      <c r="K223" s="7" t="s">
        <v>16</v>
      </c>
      <c r="L223" t="s">
        <v>1050</v>
      </c>
      <c r="M223">
        <v>0.1653</v>
      </c>
      <c r="N223" s="7" t="s">
        <v>16</v>
      </c>
      <c r="O223" s="25">
        <v>0.61</v>
      </c>
    </row>
    <row r="224" spans="1:16" x14ac:dyDescent="0.2">
      <c r="E224" t="s">
        <v>1040</v>
      </c>
      <c r="F224" t="s">
        <v>1175</v>
      </c>
      <c r="H224" t="s">
        <v>86</v>
      </c>
      <c r="I224" t="s">
        <v>12</v>
      </c>
      <c r="J224" s="32">
        <v>1.59</v>
      </c>
      <c r="K224" s="7" t="s">
        <v>16</v>
      </c>
      <c r="L224" t="s">
        <v>1051</v>
      </c>
      <c r="M224">
        <v>0.16209999999999999</v>
      </c>
      <c r="N224" s="7" t="s">
        <v>16</v>
      </c>
      <c r="O224" s="25">
        <v>4.0000000000000001E-3</v>
      </c>
    </row>
    <row r="225" spans="1:16" x14ac:dyDescent="0.2">
      <c r="A225" t="s">
        <v>1136</v>
      </c>
      <c r="B225" t="s">
        <v>1138</v>
      </c>
      <c r="C225" t="s">
        <v>16</v>
      </c>
      <c r="D225">
        <v>160828</v>
      </c>
      <c r="E225" t="s">
        <v>1169</v>
      </c>
      <c r="F225" t="s">
        <v>1174</v>
      </c>
      <c r="H225" t="s">
        <v>86</v>
      </c>
      <c r="I225" t="s">
        <v>336</v>
      </c>
      <c r="J225" s="32">
        <v>0.66900000000000004</v>
      </c>
      <c r="K225" s="7" t="s">
        <v>16</v>
      </c>
      <c r="L225" t="s">
        <v>1142</v>
      </c>
      <c r="M225" s="21">
        <v>0.2249822430828457</v>
      </c>
      <c r="N225" s="7" t="s">
        <v>8</v>
      </c>
    </row>
    <row r="226" spans="1:16" x14ac:dyDescent="0.2">
      <c r="E226" t="s">
        <v>1164</v>
      </c>
      <c r="F226" t="s">
        <v>1174</v>
      </c>
      <c r="H226" t="s">
        <v>86</v>
      </c>
      <c r="I226" t="s">
        <v>336</v>
      </c>
      <c r="J226" s="32">
        <v>0.92800000000000005</v>
      </c>
      <c r="K226" s="7" t="s">
        <v>16</v>
      </c>
      <c r="L226" s="7" t="s">
        <v>1143</v>
      </c>
      <c r="M226" s="21">
        <v>0.49993794252468698</v>
      </c>
      <c r="N226" s="7" t="s">
        <v>8</v>
      </c>
    </row>
    <row r="227" spans="1:16" x14ac:dyDescent="0.2">
      <c r="E227" t="s">
        <v>1165</v>
      </c>
      <c r="F227" t="s">
        <v>1174</v>
      </c>
      <c r="H227" t="s">
        <v>86</v>
      </c>
      <c r="I227" t="s">
        <v>336</v>
      </c>
      <c r="J227" s="32">
        <v>0.52100000000000002</v>
      </c>
      <c r="K227" s="7" t="s">
        <v>16</v>
      </c>
      <c r="L227" t="s">
        <v>1144</v>
      </c>
      <c r="M227" s="21">
        <v>0.24136984493043356</v>
      </c>
      <c r="N227" s="7" t="s">
        <v>8</v>
      </c>
    </row>
    <row r="228" spans="1:16" x14ac:dyDescent="0.2">
      <c r="E228" t="s">
        <v>1166</v>
      </c>
      <c r="F228" t="s">
        <v>1174</v>
      </c>
      <c r="H228" t="s">
        <v>86</v>
      </c>
      <c r="I228" t="s">
        <v>336</v>
      </c>
      <c r="J228" s="32">
        <v>0.21</v>
      </c>
      <c r="K228" s="7" t="s">
        <v>16</v>
      </c>
      <c r="L228" s="7" t="s">
        <v>1145</v>
      </c>
      <c r="M228" s="21">
        <v>0.15849603892524292</v>
      </c>
      <c r="N228" s="7" t="s">
        <v>8</v>
      </c>
    </row>
    <row r="229" spans="1:16" x14ac:dyDescent="0.2">
      <c r="E229" t="s">
        <v>1167</v>
      </c>
      <c r="F229" t="s">
        <v>1174</v>
      </c>
      <c r="H229" t="s">
        <v>86</v>
      </c>
      <c r="I229" t="s">
        <v>336</v>
      </c>
      <c r="J229" s="32">
        <v>1.907</v>
      </c>
      <c r="K229" s="7" t="s">
        <v>16</v>
      </c>
      <c r="L229" t="s">
        <v>1146</v>
      </c>
      <c r="M229" s="21">
        <v>1.9842700469429553</v>
      </c>
      <c r="N229" s="7" t="s">
        <v>8</v>
      </c>
    </row>
    <row r="230" spans="1:16" x14ac:dyDescent="0.2">
      <c r="E230" t="s">
        <v>1168</v>
      </c>
      <c r="F230" t="s">
        <v>1174</v>
      </c>
      <c r="H230" t="s">
        <v>86</v>
      </c>
      <c r="I230" t="s">
        <v>336</v>
      </c>
      <c r="J230" s="32">
        <v>0.55800000000000005</v>
      </c>
      <c r="K230" s="7" t="s">
        <v>16</v>
      </c>
      <c r="L230" s="7" t="s">
        <v>1147</v>
      </c>
      <c r="M230" s="21">
        <v>0.2369612537825056</v>
      </c>
      <c r="N230" s="7" t="s">
        <v>8</v>
      </c>
    </row>
    <row r="231" spans="1:16" x14ac:dyDescent="0.2">
      <c r="E231" t="s">
        <v>1156</v>
      </c>
      <c r="F231" t="s">
        <v>1174</v>
      </c>
      <c r="H231" t="s">
        <v>86</v>
      </c>
      <c r="I231" t="s">
        <v>336</v>
      </c>
      <c r="J231" s="32">
        <v>0.94</v>
      </c>
      <c r="K231" s="7" t="s">
        <v>16</v>
      </c>
      <c r="L231" t="s">
        <v>1148</v>
      </c>
      <c r="M231" s="21">
        <v>0.27683771196931911</v>
      </c>
      <c r="N231" s="7" t="s">
        <v>8</v>
      </c>
    </row>
    <row r="232" spans="1:16" x14ac:dyDescent="0.2">
      <c r="E232" t="s">
        <v>1157</v>
      </c>
      <c r="F232" t="s">
        <v>1174</v>
      </c>
      <c r="H232" t="s">
        <v>86</v>
      </c>
      <c r="I232" t="s">
        <v>336</v>
      </c>
      <c r="J232" s="32">
        <v>0.27500000000000002</v>
      </c>
      <c r="K232" s="7" t="s">
        <v>16</v>
      </c>
      <c r="L232" s="7" t="s">
        <v>1149</v>
      </c>
      <c r="M232" s="21">
        <v>0.13351764472323285</v>
      </c>
      <c r="N232" s="7" t="s">
        <v>8</v>
      </c>
    </row>
    <row r="233" spans="1:16" x14ac:dyDescent="0.2">
      <c r="E233" t="s">
        <v>1158</v>
      </c>
      <c r="F233" t="s">
        <v>1174</v>
      </c>
      <c r="H233" t="s">
        <v>86</v>
      </c>
      <c r="I233" t="s">
        <v>336</v>
      </c>
      <c r="J233" s="32">
        <v>0.72599999999999998</v>
      </c>
      <c r="K233" s="7" t="s">
        <v>16</v>
      </c>
      <c r="L233" t="s">
        <v>1150</v>
      </c>
      <c r="M233" s="21">
        <v>0.75660698895453515</v>
      </c>
      <c r="N233" s="7" t="s">
        <v>8</v>
      </c>
    </row>
    <row r="234" spans="1:16" x14ac:dyDescent="0.2">
      <c r="E234" t="s">
        <v>1159</v>
      </c>
      <c r="F234" t="s">
        <v>1174</v>
      </c>
      <c r="H234" t="s">
        <v>86</v>
      </c>
      <c r="I234" t="s">
        <v>336</v>
      </c>
      <c r="J234" s="32">
        <v>0.754</v>
      </c>
      <c r="K234" s="7" t="s">
        <v>16</v>
      </c>
      <c r="L234" s="7" t="s">
        <v>1151</v>
      </c>
      <c r="M234" s="21">
        <v>0.78030903042780364</v>
      </c>
      <c r="N234" s="7" t="s">
        <v>8</v>
      </c>
    </row>
    <row r="235" spans="1:16" x14ac:dyDescent="0.2">
      <c r="E235" t="s">
        <v>1160</v>
      </c>
      <c r="F235" t="s">
        <v>1174</v>
      </c>
      <c r="H235" t="s">
        <v>86</v>
      </c>
      <c r="I235" t="s">
        <v>336</v>
      </c>
      <c r="J235" s="32">
        <v>0.625</v>
      </c>
      <c r="K235" s="7" t="s">
        <v>16</v>
      </c>
      <c r="L235" t="s">
        <v>1152</v>
      </c>
      <c r="M235" s="21">
        <v>0.25717725347289294</v>
      </c>
      <c r="N235" s="7" t="s">
        <v>8</v>
      </c>
    </row>
    <row r="236" spans="1:16" x14ac:dyDescent="0.2">
      <c r="E236" t="s">
        <v>1161</v>
      </c>
      <c r="F236" t="s">
        <v>1174</v>
      </c>
      <c r="H236" t="s">
        <v>86</v>
      </c>
      <c r="I236" t="s">
        <v>336</v>
      </c>
      <c r="J236" s="32">
        <v>0.80300000000000005</v>
      </c>
      <c r="K236" s="7" t="s">
        <v>16</v>
      </c>
      <c r="L236" s="7" t="s">
        <v>1153</v>
      </c>
      <c r="M236" s="21">
        <v>0.31850803797783273</v>
      </c>
      <c r="N236" s="7" t="s">
        <v>8</v>
      </c>
    </row>
    <row r="237" spans="1:16" x14ac:dyDescent="0.2">
      <c r="E237" t="s">
        <v>1162</v>
      </c>
      <c r="F237" t="s">
        <v>1174</v>
      </c>
      <c r="H237" t="s">
        <v>86</v>
      </c>
      <c r="I237" t="s">
        <v>336</v>
      </c>
      <c r="J237" s="32">
        <v>0.999</v>
      </c>
      <c r="K237" s="7" t="s">
        <v>16</v>
      </c>
      <c r="L237" t="s">
        <v>1154</v>
      </c>
      <c r="M237" s="21">
        <v>0.52001481356211676</v>
      </c>
      <c r="N237" s="7" t="s">
        <v>8</v>
      </c>
    </row>
    <row r="238" spans="1:16" x14ac:dyDescent="0.2">
      <c r="E238" t="s">
        <v>1163</v>
      </c>
      <c r="F238" t="s">
        <v>1174</v>
      </c>
      <c r="H238" t="s">
        <v>86</v>
      </c>
      <c r="I238" t="s">
        <v>336</v>
      </c>
      <c r="J238" s="32">
        <v>0.33400000000000002</v>
      </c>
      <c r="K238" s="7" t="s">
        <v>16</v>
      </c>
      <c r="L238" s="7" t="s">
        <v>1155</v>
      </c>
      <c r="M238" s="21">
        <v>0.34556472666211818</v>
      </c>
      <c r="N238" s="7" t="s">
        <v>8</v>
      </c>
    </row>
    <row r="239" spans="1:16" x14ac:dyDescent="0.2">
      <c r="A239" t="s">
        <v>1137</v>
      </c>
      <c r="B239" t="s">
        <v>1139</v>
      </c>
      <c r="C239" t="s">
        <v>16</v>
      </c>
      <c r="D239">
        <v>91712</v>
      </c>
      <c r="E239" s="16" t="s">
        <v>1140</v>
      </c>
      <c r="F239" s="16"/>
      <c r="G239" s="16"/>
      <c r="H239" t="s">
        <v>1069</v>
      </c>
      <c r="I239" t="s">
        <v>12</v>
      </c>
      <c r="J239" s="35"/>
      <c r="K239" s="7" t="s">
        <v>16</v>
      </c>
      <c r="L239" s="15"/>
      <c r="M239" s="24"/>
      <c r="N239" t="s">
        <v>8</v>
      </c>
      <c r="P239" t="s">
        <v>1141</v>
      </c>
    </row>
    <row r="242" spans="12:13" x14ac:dyDescent="0.2">
      <c r="L242" s="7"/>
    </row>
    <row r="243" spans="12:13" x14ac:dyDescent="0.2">
      <c r="M243" s="9"/>
    </row>
    <row r="244" spans="12:13" x14ac:dyDescent="0.2">
      <c r="M244" s="2"/>
    </row>
    <row r="245" spans="12:13" x14ac:dyDescent="0.2">
      <c r="M245" s="9"/>
    </row>
    <row r="246" spans="12:13" x14ac:dyDescent="0.2">
      <c r="M246" s="2"/>
    </row>
    <row r="247" spans="12:13" x14ac:dyDescent="0.2">
      <c r="M247" s="9"/>
    </row>
    <row r="248" spans="12:13" x14ac:dyDescent="0.2">
      <c r="M248" s="2"/>
    </row>
    <row r="249" spans="12:13" x14ac:dyDescent="0.2">
      <c r="M249" s="9"/>
    </row>
    <row r="250" spans="12:13" x14ac:dyDescent="0.2">
      <c r="M250" s="2"/>
    </row>
    <row r="251" spans="12:13" x14ac:dyDescent="0.2">
      <c r="M251" s="9"/>
    </row>
    <row r="252" spans="12:13" x14ac:dyDescent="0.2">
      <c r="M252" s="2"/>
    </row>
    <row r="253" spans="12:13" x14ac:dyDescent="0.2">
      <c r="M253" s="9"/>
    </row>
    <row r="254" spans="12:13" x14ac:dyDescent="0.2">
      <c r="M254" s="2"/>
    </row>
    <row r="255" spans="12:13" x14ac:dyDescent="0.2">
      <c r="M255" s="9"/>
    </row>
    <row r="256" spans="12:13" x14ac:dyDescent="0.2">
      <c r="M256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C257-BCAF-4099-B36C-67ED356195A0}">
  <dimension ref="A1:G62"/>
  <sheetViews>
    <sheetView topLeftCell="A30" zoomScaleNormal="100" workbookViewId="0">
      <selection activeCell="A60" sqref="A60"/>
    </sheetView>
  </sheetViews>
  <sheetFormatPr defaultRowHeight="14.25" x14ac:dyDescent="0.2"/>
  <cols>
    <col min="1" max="1" width="53.25" customWidth="1"/>
    <col min="2" max="2" width="31" customWidth="1"/>
    <col min="3" max="4" width="10.5" customWidth="1"/>
  </cols>
  <sheetData>
    <row r="1" spans="1:7" x14ac:dyDescent="0.2">
      <c r="A1" s="11" t="s">
        <v>3</v>
      </c>
      <c r="B1" s="11"/>
      <c r="C1" t="s">
        <v>5</v>
      </c>
      <c r="D1" t="s">
        <v>12</v>
      </c>
      <c r="E1" t="s">
        <v>0</v>
      </c>
      <c r="F1" t="s">
        <v>1</v>
      </c>
      <c r="G1" t="s">
        <v>2</v>
      </c>
    </row>
    <row r="2" spans="1:7" x14ac:dyDescent="0.2">
      <c r="A2" t="s">
        <v>90</v>
      </c>
      <c r="B2" t="s">
        <v>1171</v>
      </c>
      <c r="C2" t="s">
        <v>86</v>
      </c>
      <c r="D2" s="2">
        <v>0.31</v>
      </c>
      <c r="E2" s="2" t="s">
        <v>93</v>
      </c>
      <c r="F2" s="2">
        <v>0.09</v>
      </c>
      <c r="G2" s="7" t="s">
        <v>65</v>
      </c>
    </row>
    <row r="3" spans="1:7" x14ac:dyDescent="0.2">
      <c r="A3" t="s">
        <v>92</v>
      </c>
      <c r="B3" t="s">
        <v>1171</v>
      </c>
      <c r="C3" t="s">
        <v>86</v>
      </c>
      <c r="D3" s="2">
        <v>0.56999999999999995</v>
      </c>
      <c r="E3" s="2" t="s">
        <v>94</v>
      </c>
      <c r="F3" s="2">
        <v>0.24</v>
      </c>
      <c r="G3" s="7"/>
    </row>
    <row r="4" spans="1:7" x14ac:dyDescent="0.2">
      <c r="A4" t="s">
        <v>91</v>
      </c>
      <c r="B4" t="s">
        <v>1171</v>
      </c>
      <c r="C4" t="s">
        <v>86</v>
      </c>
      <c r="D4" s="2">
        <v>0.19</v>
      </c>
      <c r="E4" s="2" t="s">
        <v>95</v>
      </c>
      <c r="F4" s="2">
        <v>7.0000000000000007E-2</v>
      </c>
      <c r="G4" t="s">
        <v>66</v>
      </c>
    </row>
    <row r="5" spans="1:7" x14ac:dyDescent="0.2">
      <c r="A5" t="s">
        <v>96</v>
      </c>
      <c r="B5" t="s">
        <v>1171</v>
      </c>
      <c r="C5" t="s">
        <v>86</v>
      </c>
      <c r="D5" s="2">
        <v>0.06</v>
      </c>
      <c r="E5" s="2" t="s">
        <v>99</v>
      </c>
      <c r="F5" s="2">
        <v>0.02</v>
      </c>
      <c r="G5" t="s">
        <v>66</v>
      </c>
    </row>
    <row r="6" spans="1:7" x14ac:dyDescent="0.2">
      <c r="A6" t="s">
        <v>97</v>
      </c>
      <c r="B6" t="s">
        <v>1171</v>
      </c>
      <c r="C6" t="s">
        <v>86</v>
      </c>
      <c r="D6" s="2">
        <v>0.13</v>
      </c>
      <c r="E6" s="2" t="s">
        <v>113</v>
      </c>
      <c r="F6" s="2">
        <v>0.06</v>
      </c>
      <c r="G6" s="7" t="s">
        <v>65</v>
      </c>
    </row>
    <row r="7" spans="1:7" x14ac:dyDescent="0.2">
      <c r="A7" t="s">
        <v>98</v>
      </c>
      <c r="B7" t="s">
        <v>1171</v>
      </c>
      <c r="C7" t="s">
        <v>86</v>
      </c>
      <c r="D7" s="2">
        <v>0.03</v>
      </c>
      <c r="E7" s="2" t="s">
        <v>114</v>
      </c>
      <c r="F7" s="2">
        <v>0.01</v>
      </c>
      <c r="G7" t="s">
        <v>66</v>
      </c>
    </row>
    <row r="8" spans="1:7" x14ac:dyDescent="0.2">
      <c r="A8" t="s">
        <v>163</v>
      </c>
      <c r="B8" t="s">
        <v>1172</v>
      </c>
      <c r="C8" t="s">
        <v>86</v>
      </c>
      <c r="D8" s="2">
        <v>1.38</v>
      </c>
      <c r="E8" s="2" t="s">
        <v>100</v>
      </c>
      <c r="F8" s="2">
        <v>0.25</v>
      </c>
      <c r="G8" s="7"/>
    </row>
    <row r="9" spans="1:7" x14ac:dyDescent="0.2">
      <c r="A9" t="s">
        <v>101</v>
      </c>
      <c r="B9" t="s">
        <v>1185</v>
      </c>
      <c r="C9" t="s">
        <v>86</v>
      </c>
      <c r="D9" s="2">
        <v>0.62</v>
      </c>
      <c r="E9" s="2" t="s">
        <v>107</v>
      </c>
      <c r="F9" s="2">
        <v>0.16</v>
      </c>
      <c r="G9" s="7"/>
    </row>
    <row r="10" spans="1:7" x14ac:dyDescent="0.2">
      <c r="A10" t="s">
        <v>105</v>
      </c>
      <c r="B10" t="s">
        <v>1185</v>
      </c>
      <c r="C10" t="s">
        <v>86</v>
      </c>
      <c r="D10" s="2">
        <v>0.67</v>
      </c>
      <c r="E10" s="2" t="s">
        <v>108</v>
      </c>
      <c r="F10" s="2">
        <v>0.25</v>
      </c>
      <c r="G10" s="7"/>
    </row>
    <row r="11" spans="1:7" x14ac:dyDescent="0.2">
      <c r="A11" t="s">
        <v>106</v>
      </c>
      <c r="B11" t="s">
        <v>1185</v>
      </c>
      <c r="C11" t="s">
        <v>86</v>
      </c>
      <c r="D11" s="2">
        <v>0.61</v>
      </c>
      <c r="E11" s="2" t="s">
        <v>109</v>
      </c>
      <c r="F11" s="2">
        <v>0.21</v>
      </c>
      <c r="G11" t="s">
        <v>66</v>
      </c>
    </row>
    <row r="12" spans="1:7" x14ac:dyDescent="0.2">
      <c r="A12" t="s">
        <v>102</v>
      </c>
      <c r="B12" t="s">
        <v>1185</v>
      </c>
      <c r="C12" t="s">
        <v>86</v>
      </c>
      <c r="D12" s="2">
        <v>1.27</v>
      </c>
      <c r="E12" s="2" t="s">
        <v>110</v>
      </c>
      <c r="F12" s="2">
        <v>0.28000000000000003</v>
      </c>
      <c r="G12" s="7"/>
    </row>
    <row r="13" spans="1:7" x14ac:dyDescent="0.2">
      <c r="A13" t="s">
        <v>103</v>
      </c>
      <c r="B13" t="s">
        <v>1185</v>
      </c>
      <c r="C13" t="s">
        <v>86</v>
      </c>
      <c r="D13" s="2">
        <v>0.95</v>
      </c>
      <c r="E13" s="2" t="s">
        <v>111</v>
      </c>
      <c r="F13" s="2">
        <v>0.34</v>
      </c>
      <c r="G13" s="7"/>
    </row>
    <row r="14" spans="1:7" x14ac:dyDescent="0.2">
      <c r="A14" t="s">
        <v>104</v>
      </c>
      <c r="B14" t="s">
        <v>1185</v>
      </c>
      <c r="C14" t="s">
        <v>86</v>
      </c>
      <c r="D14" s="2">
        <v>1.64</v>
      </c>
      <c r="E14" s="2" t="s">
        <v>112</v>
      </c>
      <c r="F14" s="2">
        <v>0.46</v>
      </c>
      <c r="G14" t="s">
        <v>66</v>
      </c>
    </row>
    <row r="15" spans="1:7" x14ac:dyDescent="0.2">
      <c r="A15" t="s">
        <v>166</v>
      </c>
      <c r="B15" t="s">
        <v>1185</v>
      </c>
      <c r="C15" t="s">
        <v>86</v>
      </c>
      <c r="D15" s="2">
        <v>1.23</v>
      </c>
      <c r="E15" s="2" t="s">
        <v>115</v>
      </c>
      <c r="F15" s="2">
        <v>0.2</v>
      </c>
      <c r="G15" s="7"/>
    </row>
    <row r="16" spans="1:7" x14ac:dyDescent="0.2">
      <c r="A16" t="s">
        <v>164</v>
      </c>
      <c r="B16" t="s">
        <v>1185</v>
      </c>
      <c r="C16" t="s">
        <v>86</v>
      </c>
      <c r="D16" s="2">
        <v>1.41</v>
      </c>
      <c r="E16" s="2" t="s">
        <v>116</v>
      </c>
      <c r="F16" s="2">
        <v>0.34</v>
      </c>
      <c r="G16" t="s">
        <v>66</v>
      </c>
    </row>
    <row r="17" spans="1:7" x14ac:dyDescent="0.2">
      <c r="A17" t="s">
        <v>165</v>
      </c>
      <c r="B17" t="s">
        <v>1185</v>
      </c>
      <c r="C17" t="s">
        <v>86</v>
      </c>
      <c r="D17" s="2">
        <v>1.07</v>
      </c>
      <c r="E17" s="2" t="s">
        <v>117</v>
      </c>
      <c r="F17" s="2">
        <v>0.24</v>
      </c>
      <c r="G17" t="s">
        <v>66</v>
      </c>
    </row>
    <row r="18" spans="1:7" x14ac:dyDescent="0.2">
      <c r="A18" t="s">
        <v>169</v>
      </c>
      <c r="B18" t="s">
        <v>1185</v>
      </c>
      <c r="C18" t="s">
        <v>86</v>
      </c>
      <c r="D18" s="2">
        <v>5.73</v>
      </c>
      <c r="E18" s="2" t="s">
        <v>118</v>
      </c>
      <c r="F18" s="2">
        <v>1.35</v>
      </c>
      <c r="G18" t="s">
        <v>66</v>
      </c>
    </row>
    <row r="19" spans="1:7" x14ac:dyDescent="0.2">
      <c r="A19" t="s">
        <v>167</v>
      </c>
      <c r="B19" t="s">
        <v>1185</v>
      </c>
      <c r="C19" t="s">
        <v>86</v>
      </c>
      <c r="D19" s="2">
        <v>2.89</v>
      </c>
      <c r="E19" s="2" t="s">
        <v>119</v>
      </c>
      <c r="F19" s="2">
        <v>0.93</v>
      </c>
      <c r="G19" s="7" t="s">
        <v>65</v>
      </c>
    </row>
    <row r="20" spans="1:7" ht="28.5" x14ac:dyDescent="0.2">
      <c r="A20" t="s">
        <v>168</v>
      </c>
      <c r="B20" t="s">
        <v>1185</v>
      </c>
      <c r="C20" t="s">
        <v>86</v>
      </c>
      <c r="D20" s="2">
        <v>10.199999999999999</v>
      </c>
      <c r="E20" s="2" t="s">
        <v>120</v>
      </c>
      <c r="F20" s="2">
        <v>3.18</v>
      </c>
      <c r="G20" t="s">
        <v>66</v>
      </c>
    </row>
    <row r="21" spans="1:7" x14ac:dyDescent="0.2">
      <c r="A21" t="s">
        <v>172</v>
      </c>
      <c r="B21" t="s">
        <v>1185</v>
      </c>
      <c r="C21" t="s">
        <v>86</v>
      </c>
      <c r="D21" s="2">
        <v>2.23</v>
      </c>
      <c r="E21" s="2" t="s">
        <v>121</v>
      </c>
      <c r="F21" s="2">
        <v>0.48</v>
      </c>
      <c r="G21" t="s">
        <v>66</v>
      </c>
    </row>
    <row r="22" spans="1:7" x14ac:dyDescent="0.2">
      <c r="A22" t="s">
        <v>170</v>
      </c>
      <c r="B22" t="s">
        <v>1185</v>
      </c>
      <c r="C22" t="s">
        <v>86</v>
      </c>
      <c r="D22" s="2">
        <v>2.1</v>
      </c>
      <c r="E22" s="2" t="s">
        <v>122</v>
      </c>
      <c r="F22" s="2">
        <v>0.67</v>
      </c>
      <c r="G22" t="s">
        <v>162</v>
      </c>
    </row>
    <row r="23" spans="1:7" x14ac:dyDescent="0.2">
      <c r="A23" t="s">
        <v>171</v>
      </c>
      <c r="B23" t="s">
        <v>1185</v>
      </c>
      <c r="C23" t="s">
        <v>86</v>
      </c>
      <c r="D23" s="2">
        <v>2.27</v>
      </c>
      <c r="E23" s="2" t="s">
        <v>123</v>
      </c>
      <c r="F23" s="2">
        <v>0.65</v>
      </c>
      <c r="G23" s="7" t="s">
        <v>65</v>
      </c>
    </row>
    <row r="24" spans="1:7" x14ac:dyDescent="0.2">
      <c r="A24" t="s">
        <v>175</v>
      </c>
      <c r="B24" t="s">
        <v>1185</v>
      </c>
      <c r="C24" t="s">
        <v>86</v>
      </c>
      <c r="D24" s="2">
        <v>1.38</v>
      </c>
      <c r="E24" s="2" t="s">
        <v>124</v>
      </c>
      <c r="F24" s="2">
        <v>0.47</v>
      </c>
      <c r="G24" s="7"/>
    </row>
    <row r="25" spans="1:7" x14ac:dyDescent="0.2">
      <c r="A25" t="s">
        <v>173</v>
      </c>
      <c r="B25" t="s">
        <v>1185</v>
      </c>
      <c r="C25" t="s">
        <v>86</v>
      </c>
      <c r="D25" s="2">
        <v>2.4</v>
      </c>
      <c r="E25" s="2" t="s">
        <v>125</v>
      </c>
      <c r="F25" s="2">
        <v>1.01</v>
      </c>
      <c r="G25" t="s">
        <v>162</v>
      </c>
    </row>
    <row r="26" spans="1:7" x14ac:dyDescent="0.2">
      <c r="A26" t="s">
        <v>174</v>
      </c>
      <c r="B26" t="s">
        <v>1185</v>
      </c>
      <c r="C26" t="s">
        <v>86</v>
      </c>
      <c r="D26" s="2">
        <v>0.74</v>
      </c>
      <c r="E26" s="2" t="s">
        <v>126</v>
      </c>
      <c r="F26" s="2">
        <v>0.44</v>
      </c>
      <c r="G26" t="s">
        <v>66</v>
      </c>
    </row>
    <row r="27" spans="1:7" x14ac:dyDescent="0.2">
      <c r="A27" t="s">
        <v>176</v>
      </c>
      <c r="B27" t="s">
        <v>1186</v>
      </c>
      <c r="C27" t="s">
        <v>86</v>
      </c>
      <c r="D27" s="2">
        <v>0.51</v>
      </c>
      <c r="E27" s="2" t="s">
        <v>127</v>
      </c>
      <c r="F27" s="2">
        <v>0.11</v>
      </c>
      <c r="G27" s="7" t="s">
        <v>65</v>
      </c>
    </row>
    <row r="28" spans="1:7" x14ac:dyDescent="0.2">
      <c r="A28" t="s">
        <v>177</v>
      </c>
      <c r="B28" t="s">
        <v>1186</v>
      </c>
      <c r="C28" t="s">
        <v>86</v>
      </c>
      <c r="D28" s="2">
        <v>0.73</v>
      </c>
      <c r="E28" s="2" t="s">
        <v>128</v>
      </c>
      <c r="F28" s="2">
        <v>0.23</v>
      </c>
      <c r="G28" t="s">
        <v>66</v>
      </c>
    </row>
    <row r="29" spans="1:7" x14ac:dyDescent="0.2">
      <c r="A29" t="s">
        <v>178</v>
      </c>
      <c r="B29" t="s">
        <v>1186</v>
      </c>
      <c r="C29" t="s">
        <v>86</v>
      </c>
      <c r="D29" s="2">
        <v>0.39</v>
      </c>
      <c r="E29" s="2" t="s">
        <v>129</v>
      </c>
      <c r="F29" s="2">
        <v>0.11</v>
      </c>
      <c r="G29" t="s">
        <v>66</v>
      </c>
    </row>
    <row r="30" spans="1:7" x14ac:dyDescent="0.2">
      <c r="A30" t="s">
        <v>179</v>
      </c>
      <c r="B30" t="s">
        <v>1186</v>
      </c>
      <c r="C30" t="s">
        <v>86</v>
      </c>
      <c r="D30" s="2">
        <v>0.17</v>
      </c>
      <c r="E30" s="2" t="s">
        <v>130</v>
      </c>
      <c r="F30" s="2">
        <v>0.06</v>
      </c>
      <c r="G30" t="s">
        <v>66</v>
      </c>
    </row>
    <row r="31" spans="1:7" x14ac:dyDescent="0.2">
      <c r="A31" t="s">
        <v>180</v>
      </c>
      <c r="B31" t="s">
        <v>1186</v>
      </c>
      <c r="C31" t="s">
        <v>86</v>
      </c>
      <c r="D31" s="2">
        <v>0.2</v>
      </c>
      <c r="E31" s="2" t="s">
        <v>131</v>
      </c>
      <c r="F31" s="2">
        <v>0.11</v>
      </c>
      <c r="G31" s="7" t="s">
        <v>65</v>
      </c>
    </row>
    <row r="32" spans="1:7" x14ac:dyDescent="0.2">
      <c r="A32" t="s">
        <v>181</v>
      </c>
      <c r="B32" t="s">
        <v>1186</v>
      </c>
      <c r="C32" t="s">
        <v>86</v>
      </c>
      <c r="D32" s="2">
        <v>0.17</v>
      </c>
      <c r="E32" s="2" t="s">
        <v>132</v>
      </c>
      <c r="F32" s="2">
        <v>0.08</v>
      </c>
      <c r="G32" t="s">
        <v>66</v>
      </c>
    </row>
    <row r="33" spans="1:7" x14ac:dyDescent="0.2">
      <c r="A33" t="s">
        <v>182</v>
      </c>
      <c r="B33" t="s">
        <v>1191</v>
      </c>
      <c r="C33" t="s">
        <v>86</v>
      </c>
      <c r="D33" s="2">
        <v>0.7</v>
      </c>
      <c r="E33" s="2" t="s">
        <v>133</v>
      </c>
      <c r="F33" s="2">
        <v>0.16</v>
      </c>
      <c r="G33" s="7"/>
    </row>
    <row r="34" spans="1:7" x14ac:dyDescent="0.2">
      <c r="A34" t="s">
        <v>183</v>
      </c>
      <c r="B34" t="s">
        <v>1191</v>
      </c>
      <c r="C34" t="s">
        <v>86</v>
      </c>
      <c r="D34" s="2">
        <v>0.75</v>
      </c>
      <c r="E34" s="2" t="s">
        <v>134</v>
      </c>
      <c r="F34" s="2">
        <v>0.25</v>
      </c>
      <c r="G34" s="7"/>
    </row>
    <row r="35" spans="1:7" x14ac:dyDescent="0.2">
      <c r="A35" t="s">
        <v>184</v>
      </c>
      <c r="B35" t="s">
        <v>1191</v>
      </c>
      <c r="C35" t="s">
        <v>86</v>
      </c>
      <c r="D35" s="2">
        <v>0.68</v>
      </c>
      <c r="E35" s="2" t="s">
        <v>135</v>
      </c>
      <c r="F35" s="2">
        <v>0.21</v>
      </c>
      <c r="G35" s="7"/>
    </row>
    <row r="36" spans="1:7" x14ac:dyDescent="0.2">
      <c r="A36" t="s">
        <v>188</v>
      </c>
      <c r="B36" t="s">
        <v>1175</v>
      </c>
      <c r="C36" t="s">
        <v>86</v>
      </c>
      <c r="D36" s="2">
        <v>0.49</v>
      </c>
      <c r="E36" s="2" t="s">
        <v>136</v>
      </c>
      <c r="F36" s="2">
        <v>0.28999999999999998</v>
      </c>
      <c r="G36" s="7"/>
    </row>
    <row r="37" spans="1:7" x14ac:dyDescent="0.2">
      <c r="A37" t="s">
        <v>185</v>
      </c>
      <c r="B37" t="s">
        <v>1175</v>
      </c>
      <c r="C37" t="s">
        <v>86</v>
      </c>
      <c r="D37" s="2">
        <v>0.38</v>
      </c>
      <c r="E37" s="2" t="s">
        <v>137</v>
      </c>
      <c r="F37" s="2">
        <v>0.39</v>
      </c>
      <c r="G37" t="s">
        <v>66</v>
      </c>
    </row>
    <row r="38" spans="1:7" x14ac:dyDescent="0.2">
      <c r="A38" t="s">
        <v>186</v>
      </c>
      <c r="B38" t="s">
        <v>1175</v>
      </c>
      <c r="C38" t="s">
        <v>86</v>
      </c>
      <c r="D38" s="2">
        <v>0.67</v>
      </c>
      <c r="E38" s="2" t="s">
        <v>138</v>
      </c>
      <c r="F38" s="2">
        <v>0.69</v>
      </c>
      <c r="G38" s="7"/>
    </row>
    <row r="39" spans="1:7" x14ac:dyDescent="0.2">
      <c r="A39" t="s">
        <v>187</v>
      </c>
      <c r="B39" t="s">
        <v>1191</v>
      </c>
      <c r="C39" t="s">
        <v>86</v>
      </c>
      <c r="D39" s="2">
        <v>1.78</v>
      </c>
      <c r="E39" s="2" t="s">
        <v>139</v>
      </c>
      <c r="F39" s="2">
        <v>0.56999999999999995</v>
      </c>
      <c r="G39" s="7"/>
    </row>
    <row r="40" spans="1:7" x14ac:dyDescent="0.2">
      <c r="A40" t="s">
        <v>189</v>
      </c>
      <c r="B40" t="s">
        <v>1191</v>
      </c>
      <c r="C40" t="s">
        <v>86</v>
      </c>
      <c r="D40" s="2">
        <v>1.97</v>
      </c>
      <c r="E40" s="2" t="s">
        <v>140</v>
      </c>
      <c r="F40" s="2">
        <v>0.96</v>
      </c>
      <c r="G40" s="7" t="s">
        <v>65</v>
      </c>
    </row>
    <row r="41" spans="1:7" x14ac:dyDescent="0.2">
      <c r="A41" t="s">
        <v>190</v>
      </c>
      <c r="B41" t="s">
        <v>1191</v>
      </c>
      <c r="C41" t="s">
        <v>86</v>
      </c>
      <c r="D41" s="2">
        <v>1.62</v>
      </c>
      <c r="E41" s="2" t="s">
        <v>141</v>
      </c>
      <c r="F41" s="2">
        <v>0.67</v>
      </c>
      <c r="G41" t="s">
        <v>162</v>
      </c>
    </row>
    <row r="42" spans="1:7" x14ac:dyDescent="0.2">
      <c r="A42" t="s">
        <v>191</v>
      </c>
      <c r="B42" t="s">
        <v>1186</v>
      </c>
      <c r="C42" t="s">
        <v>86</v>
      </c>
      <c r="D42" s="2">
        <v>1.02</v>
      </c>
      <c r="E42" s="2" t="s">
        <v>142</v>
      </c>
      <c r="F42" s="2">
        <v>0.2</v>
      </c>
      <c r="G42" t="s">
        <v>66</v>
      </c>
    </row>
    <row r="43" spans="1:7" x14ac:dyDescent="0.2">
      <c r="A43" t="s">
        <v>192</v>
      </c>
      <c r="B43" t="s">
        <v>1186</v>
      </c>
      <c r="C43" t="s">
        <v>86</v>
      </c>
      <c r="D43" s="2">
        <v>1.1299999999999999</v>
      </c>
      <c r="E43" s="2" t="s">
        <v>143</v>
      </c>
      <c r="F43" s="2">
        <v>0.37</v>
      </c>
      <c r="G43" t="s">
        <v>66</v>
      </c>
    </row>
    <row r="44" spans="1:7" x14ac:dyDescent="0.2">
      <c r="A44" t="s">
        <v>193</v>
      </c>
      <c r="B44" t="s">
        <v>1186</v>
      </c>
      <c r="C44" t="s">
        <v>86</v>
      </c>
      <c r="D44" s="2">
        <v>0.97</v>
      </c>
      <c r="E44" s="2" t="s">
        <v>144</v>
      </c>
      <c r="F44" s="2">
        <v>0.24</v>
      </c>
      <c r="G44" t="s">
        <v>66</v>
      </c>
    </row>
    <row r="45" spans="1:7" x14ac:dyDescent="0.2">
      <c r="A45" t="s">
        <v>194</v>
      </c>
      <c r="B45" t="s">
        <v>1186</v>
      </c>
      <c r="C45" t="s">
        <v>86</v>
      </c>
      <c r="D45" s="2">
        <v>1.5</v>
      </c>
      <c r="E45" s="2" t="s">
        <v>145</v>
      </c>
      <c r="F45" s="2">
        <v>0.36</v>
      </c>
      <c r="G45" t="s">
        <v>66</v>
      </c>
    </row>
    <row r="46" spans="1:7" x14ac:dyDescent="0.2">
      <c r="A46" t="s">
        <v>195</v>
      </c>
      <c r="B46" t="s">
        <v>1186</v>
      </c>
      <c r="C46" t="s">
        <v>86</v>
      </c>
      <c r="D46" s="2">
        <v>2.96</v>
      </c>
      <c r="E46" s="2" t="s">
        <v>146</v>
      </c>
      <c r="F46" s="2">
        <v>1.01</v>
      </c>
      <c r="G46" t="s">
        <v>66</v>
      </c>
    </row>
    <row r="47" spans="1:7" x14ac:dyDescent="0.2">
      <c r="A47" t="s">
        <v>196</v>
      </c>
      <c r="B47" t="s">
        <v>1186</v>
      </c>
      <c r="C47" t="s">
        <v>86</v>
      </c>
      <c r="D47" s="2">
        <v>1.37</v>
      </c>
      <c r="E47" s="2" t="s">
        <v>147</v>
      </c>
      <c r="F47" s="2">
        <v>1.01</v>
      </c>
      <c r="G47" t="s">
        <v>66</v>
      </c>
    </row>
    <row r="48" spans="1:7" x14ac:dyDescent="0.2">
      <c r="A48" t="s">
        <v>197</v>
      </c>
      <c r="B48" t="s">
        <v>1191</v>
      </c>
      <c r="C48" t="s">
        <v>86</v>
      </c>
      <c r="D48" s="2">
        <v>0.75</v>
      </c>
      <c r="E48" s="2" t="s">
        <v>148</v>
      </c>
      <c r="F48" s="2">
        <v>0.16</v>
      </c>
      <c r="G48" s="7"/>
    </row>
    <row r="49" spans="1:7" x14ac:dyDescent="0.2">
      <c r="A49" t="s">
        <v>198</v>
      </c>
      <c r="B49" t="s">
        <v>1191</v>
      </c>
      <c r="C49" t="s">
        <v>86</v>
      </c>
      <c r="D49" s="2">
        <v>1.03</v>
      </c>
      <c r="E49" s="2" t="s">
        <v>149</v>
      </c>
      <c r="F49" s="2">
        <v>0.33</v>
      </c>
      <c r="G49" s="7"/>
    </row>
    <row r="50" spans="1:7" x14ac:dyDescent="0.2">
      <c r="A50" t="s">
        <v>199</v>
      </c>
      <c r="B50" t="s">
        <v>1191</v>
      </c>
      <c r="C50" t="s">
        <v>86</v>
      </c>
      <c r="D50" s="2">
        <v>0.55000000000000004</v>
      </c>
      <c r="E50" s="2" t="s">
        <v>150</v>
      </c>
      <c r="F50" s="2">
        <v>0.17</v>
      </c>
      <c r="G50" t="s">
        <v>162</v>
      </c>
    </row>
    <row r="51" spans="1:7" x14ac:dyDescent="0.2">
      <c r="A51" t="s">
        <v>200</v>
      </c>
      <c r="B51" t="s">
        <v>1191</v>
      </c>
      <c r="C51" t="s">
        <v>86</v>
      </c>
      <c r="D51" s="2">
        <v>0.9</v>
      </c>
      <c r="E51" s="2" t="s">
        <v>151</v>
      </c>
      <c r="F51" s="2">
        <v>0.23</v>
      </c>
      <c r="G51" s="7"/>
    </row>
    <row r="52" spans="1:7" x14ac:dyDescent="0.2">
      <c r="A52" t="s">
        <v>201</v>
      </c>
      <c r="B52" t="s">
        <v>1191</v>
      </c>
      <c r="C52" t="s">
        <v>86</v>
      </c>
      <c r="D52" s="2">
        <v>0.67</v>
      </c>
      <c r="E52" s="2" t="s">
        <v>152</v>
      </c>
      <c r="F52" s="2">
        <v>0.24</v>
      </c>
      <c r="G52" s="7"/>
    </row>
    <row r="53" spans="1:7" x14ac:dyDescent="0.2">
      <c r="A53" t="s">
        <v>202</v>
      </c>
      <c r="B53" t="s">
        <v>1191</v>
      </c>
      <c r="C53" t="s">
        <v>86</v>
      </c>
      <c r="D53" s="2">
        <v>1.19</v>
      </c>
      <c r="E53" s="2" t="s">
        <v>153</v>
      </c>
      <c r="F53" s="2">
        <v>0.42</v>
      </c>
      <c r="G53" t="s">
        <v>162</v>
      </c>
    </row>
    <row r="54" spans="1:7" x14ac:dyDescent="0.2">
      <c r="A54" t="s">
        <v>203</v>
      </c>
      <c r="B54" t="s">
        <v>1175</v>
      </c>
      <c r="C54" t="s">
        <v>86</v>
      </c>
      <c r="D54" s="2">
        <v>0.71</v>
      </c>
      <c r="E54" s="2" t="s">
        <v>154</v>
      </c>
      <c r="F54" s="2">
        <v>0.22</v>
      </c>
      <c r="G54" s="7"/>
    </row>
    <row r="55" spans="1:7" x14ac:dyDescent="0.2">
      <c r="A55" t="s">
        <v>204</v>
      </c>
      <c r="B55" t="s">
        <v>1175</v>
      </c>
      <c r="C55" t="s">
        <v>86</v>
      </c>
      <c r="D55" s="2">
        <v>0.56000000000000005</v>
      </c>
      <c r="E55" s="2" t="s">
        <v>155</v>
      </c>
      <c r="F55" s="2">
        <v>0.31</v>
      </c>
      <c r="G55" s="7"/>
    </row>
    <row r="56" spans="1:7" x14ac:dyDescent="0.2">
      <c r="A56" t="s">
        <v>205</v>
      </c>
      <c r="B56" t="s">
        <v>1175</v>
      </c>
      <c r="C56" t="s">
        <v>86</v>
      </c>
      <c r="D56" s="2">
        <v>0.9</v>
      </c>
      <c r="E56" s="2" t="s">
        <v>156</v>
      </c>
      <c r="F56" s="2">
        <v>0.33</v>
      </c>
      <c r="G56" t="s">
        <v>162</v>
      </c>
    </row>
    <row r="57" spans="1:7" x14ac:dyDescent="0.2">
      <c r="A57" t="s">
        <v>208</v>
      </c>
      <c r="B57" t="s">
        <v>1175</v>
      </c>
      <c r="C57" t="s">
        <v>86</v>
      </c>
      <c r="D57" s="2">
        <v>0.39</v>
      </c>
      <c r="E57" s="2" t="s">
        <v>157</v>
      </c>
      <c r="F57" s="2">
        <v>0.14000000000000001</v>
      </c>
      <c r="G57" t="s">
        <v>162</v>
      </c>
    </row>
    <row r="58" spans="1:7" x14ac:dyDescent="0.2">
      <c r="A58" t="s">
        <v>206</v>
      </c>
      <c r="B58" t="s">
        <v>1175</v>
      </c>
      <c r="C58" t="s">
        <v>86</v>
      </c>
      <c r="D58" s="2">
        <v>0.37</v>
      </c>
      <c r="E58" s="2" t="s">
        <v>158</v>
      </c>
      <c r="F58" s="2">
        <v>0.23</v>
      </c>
      <c r="G58" t="s">
        <v>66</v>
      </c>
    </row>
    <row r="59" spans="1:7" x14ac:dyDescent="0.2">
      <c r="A59" t="s">
        <v>207</v>
      </c>
      <c r="B59" t="s">
        <v>1175</v>
      </c>
      <c r="C59" t="s">
        <v>86</v>
      </c>
      <c r="D59" s="2">
        <v>0.4</v>
      </c>
      <c r="E59" s="2" t="s">
        <v>159</v>
      </c>
      <c r="F59" s="2">
        <v>0.19</v>
      </c>
      <c r="G59" t="s">
        <v>66</v>
      </c>
    </row>
    <row r="60" spans="1:7" x14ac:dyDescent="0.2">
      <c r="A60" t="s">
        <v>209</v>
      </c>
      <c r="B60" t="s">
        <v>1175</v>
      </c>
      <c r="C60" t="s">
        <v>86</v>
      </c>
      <c r="D60" s="2">
        <v>2.36</v>
      </c>
      <c r="E60" s="2" t="s">
        <v>160</v>
      </c>
      <c r="F60" s="2">
        <v>1.05</v>
      </c>
      <c r="G60" s="7"/>
    </row>
    <row r="61" spans="1:7" ht="28.5" x14ac:dyDescent="0.2">
      <c r="A61" t="s">
        <v>210</v>
      </c>
      <c r="B61" t="s">
        <v>1175</v>
      </c>
      <c r="C61" t="s">
        <v>86</v>
      </c>
      <c r="D61" s="2">
        <v>3.92</v>
      </c>
      <c r="E61" s="2" t="s">
        <v>161</v>
      </c>
      <c r="F61" s="2">
        <v>2.2000000000000002</v>
      </c>
      <c r="G61" t="s">
        <v>64</v>
      </c>
    </row>
    <row r="62" spans="1:7" x14ac:dyDescent="0.2">
      <c r="A62" t="s">
        <v>211</v>
      </c>
      <c r="B62" t="s">
        <v>1175</v>
      </c>
      <c r="C62" t="s">
        <v>86</v>
      </c>
      <c r="D62" s="2">
        <v>1.38</v>
      </c>
      <c r="E62" s="2" t="s">
        <v>147</v>
      </c>
      <c r="F62" s="2">
        <v>1.01</v>
      </c>
      <c r="G62" t="s">
        <v>162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FC12-8CE2-44AA-AD8B-B7F067F3760D}">
  <dimension ref="A1:G133"/>
  <sheetViews>
    <sheetView workbookViewId="0">
      <selection activeCell="F2" sqref="F2"/>
    </sheetView>
  </sheetViews>
  <sheetFormatPr defaultRowHeight="14.25" x14ac:dyDescent="0.2"/>
  <cols>
    <col min="1" max="1" width="28.875" customWidth="1"/>
    <col min="6" max="6" width="11.25" customWidth="1"/>
  </cols>
  <sheetData>
    <row r="1" spans="1:7" x14ac:dyDescent="0.2">
      <c r="A1" t="s">
        <v>250</v>
      </c>
      <c r="C1" t="s">
        <v>251</v>
      </c>
      <c r="D1" t="s">
        <v>12</v>
      </c>
      <c r="E1" t="s">
        <v>258</v>
      </c>
      <c r="F1" t="s">
        <v>259</v>
      </c>
      <c r="G1" t="s">
        <v>260</v>
      </c>
    </row>
    <row r="2" spans="1:7" x14ac:dyDescent="0.2">
      <c r="A2" s="4" t="s">
        <v>252</v>
      </c>
      <c r="B2" t="s">
        <v>1172</v>
      </c>
      <c r="C2" s="4" t="s">
        <v>228</v>
      </c>
      <c r="D2" s="2">
        <v>1.44</v>
      </c>
      <c r="E2" s="2">
        <v>1.29</v>
      </c>
      <c r="F2">
        <v>1.61</v>
      </c>
      <c r="G2" s="2">
        <v>8.2000000000000003E-2</v>
      </c>
    </row>
    <row r="3" spans="1:7" x14ac:dyDescent="0.2">
      <c r="A3" s="4" t="s">
        <v>227</v>
      </c>
      <c r="B3" t="s">
        <v>1172</v>
      </c>
      <c r="C3" s="4" t="s">
        <v>229</v>
      </c>
      <c r="D3" s="2">
        <v>1.56</v>
      </c>
      <c r="E3" s="2">
        <v>1.23</v>
      </c>
      <c r="F3">
        <v>1.99</v>
      </c>
      <c r="G3" s="2">
        <v>0.191</v>
      </c>
    </row>
    <row r="4" spans="1:7" x14ac:dyDescent="0.2">
      <c r="A4" s="4" t="s">
        <v>227</v>
      </c>
      <c r="B4" t="s">
        <v>1172</v>
      </c>
      <c r="C4" s="4" t="s">
        <v>230</v>
      </c>
      <c r="D4" s="2">
        <v>1.5</v>
      </c>
      <c r="E4" s="2">
        <v>1.17</v>
      </c>
      <c r="F4">
        <v>1.93</v>
      </c>
      <c r="G4" s="2">
        <v>0.192</v>
      </c>
    </row>
    <row r="5" spans="1:7" x14ac:dyDescent="0.2">
      <c r="A5" s="4" t="s">
        <v>227</v>
      </c>
      <c r="B5" t="s">
        <v>1172</v>
      </c>
      <c r="C5" s="4" t="s">
        <v>231</v>
      </c>
      <c r="D5" s="2">
        <v>1.27</v>
      </c>
      <c r="E5" s="2">
        <v>1.04</v>
      </c>
      <c r="F5">
        <v>1.55</v>
      </c>
      <c r="G5" s="2">
        <v>0.13</v>
      </c>
    </row>
    <row r="6" spans="1:7" x14ac:dyDescent="0.2">
      <c r="A6" s="4" t="s">
        <v>227</v>
      </c>
      <c r="B6" t="s">
        <v>1172</v>
      </c>
      <c r="C6" s="4" t="s">
        <v>232</v>
      </c>
      <c r="D6" s="2">
        <v>1.27</v>
      </c>
      <c r="E6" s="2">
        <v>0.97</v>
      </c>
      <c r="F6">
        <v>1.65</v>
      </c>
      <c r="G6" s="2">
        <v>0.17100000000000001</v>
      </c>
    </row>
    <row r="7" spans="1:7" x14ac:dyDescent="0.2">
      <c r="A7" s="4" t="s">
        <v>227</v>
      </c>
      <c r="B7" t="s">
        <v>1172</v>
      </c>
      <c r="C7" s="4" t="s">
        <v>233</v>
      </c>
      <c r="D7" s="2">
        <v>2.02</v>
      </c>
      <c r="E7" s="2">
        <v>1.4</v>
      </c>
      <c r="F7">
        <v>2.9</v>
      </c>
      <c r="G7" s="2">
        <v>0.376</v>
      </c>
    </row>
    <row r="8" spans="1:7" x14ac:dyDescent="0.2">
      <c r="A8" s="8" t="s">
        <v>253</v>
      </c>
      <c r="B8" t="s">
        <v>1196</v>
      </c>
      <c r="C8" s="8" t="s">
        <v>228</v>
      </c>
      <c r="D8" s="8">
        <v>0.66</v>
      </c>
      <c r="E8" s="8">
        <v>0.54</v>
      </c>
      <c r="F8" s="8">
        <v>0.8</v>
      </c>
      <c r="G8" s="8">
        <v>6.6199999999999995E-2</v>
      </c>
    </row>
    <row r="9" spans="1:7" x14ac:dyDescent="0.2">
      <c r="A9" s="8" t="s">
        <v>234</v>
      </c>
      <c r="B9" t="s">
        <v>1196</v>
      </c>
      <c r="C9" s="8" t="s">
        <v>235</v>
      </c>
      <c r="D9" s="8">
        <v>0.52</v>
      </c>
      <c r="E9" s="8">
        <v>0.34</v>
      </c>
      <c r="F9" s="8">
        <v>0.77</v>
      </c>
      <c r="G9" s="8">
        <v>0.1084</v>
      </c>
    </row>
    <row r="10" spans="1:7" x14ac:dyDescent="0.2">
      <c r="A10" s="8" t="s">
        <v>234</v>
      </c>
      <c r="B10" t="s">
        <v>1196</v>
      </c>
      <c r="C10" s="8" t="s">
        <v>236</v>
      </c>
      <c r="D10" s="8">
        <v>0.69</v>
      </c>
      <c r="E10" s="8">
        <v>0.44</v>
      </c>
      <c r="F10" s="8">
        <v>1</v>
      </c>
      <c r="G10" s="8">
        <v>0.14449999999999999</v>
      </c>
    </row>
    <row r="11" spans="1:7" x14ac:dyDescent="0.2">
      <c r="A11" s="8" t="s">
        <v>234</v>
      </c>
      <c r="B11" t="s">
        <v>1196</v>
      </c>
      <c r="C11" s="8" t="s">
        <v>237</v>
      </c>
      <c r="D11" s="8">
        <v>0.56000000000000005</v>
      </c>
      <c r="E11" s="8">
        <v>0.37</v>
      </c>
      <c r="F11" s="8">
        <v>0.86</v>
      </c>
      <c r="G11" s="8">
        <v>0.1205</v>
      </c>
    </row>
    <row r="12" spans="1:7" x14ac:dyDescent="0.2">
      <c r="A12" s="8" t="s">
        <v>234</v>
      </c>
      <c r="B12" t="s">
        <v>1196</v>
      </c>
      <c r="C12" s="8" t="s">
        <v>238</v>
      </c>
      <c r="D12" s="8">
        <v>0.77</v>
      </c>
      <c r="E12" s="8">
        <v>0.46</v>
      </c>
      <c r="F12" s="8">
        <v>1.28</v>
      </c>
      <c r="G12" s="8">
        <v>0.20100000000000001</v>
      </c>
    </row>
    <row r="13" spans="1:7" x14ac:dyDescent="0.2">
      <c r="A13" s="8" t="s">
        <v>234</v>
      </c>
      <c r="B13" t="s">
        <v>1196</v>
      </c>
      <c r="C13" s="8" t="s">
        <v>239</v>
      </c>
      <c r="D13" s="8">
        <v>1.1399999999999999</v>
      </c>
      <c r="E13" s="8">
        <v>0.68</v>
      </c>
      <c r="F13" s="8">
        <v>1.92</v>
      </c>
      <c r="G13" s="8">
        <v>0.3019</v>
      </c>
    </row>
    <row r="14" spans="1:7" x14ac:dyDescent="0.2">
      <c r="A14" s="8" t="s">
        <v>255</v>
      </c>
      <c r="B14" t="s">
        <v>1196</v>
      </c>
      <c r="C14" s="8" t="s">
        <v>228</v>
      </c>
      <c r="D14" s="8">
        <v>0.28999999999999998</v>
      </c>
      <c r="E14" s="8">
        <v>0.24</v>
      </c>
      <c r="F14" s="8">
        <v>0.35</v>
      </c>
      <c r="G14" s="8">
        <v>2.7900000000000001E-2</v>
      </c>
    </row>
    <row r="15" spans="1:7" x14ac:dyDescent="0.2">
      <c r="A15" s="8" t="s">
        <v>240</v>
      </c>
      <c r="B15" t="s">
        <v>1196</v>
      </c>
      <c r="C15" s="8" t="s">
        <v>235</v>
      </c>
      <c r="D15" s="8">
        <v>0.45</v>
      </c>
      <c r="E15" s="8">
        <v>0.33</v>
      </c>
      <c r="F15" s="8">
        <v>0.6</v>
      </c>
      <c r="G15" s="8">
        <v>6.8599999999999994E-2</v>
      </c>
    </row>
    <row r="16" spans="1:7" x14ac:dyDescent="0.2">
      <c r="A16" s="8" t="s">
        <v>240</v>
      </c>
      <c r="B16" t="s">
        <v>1196</v>
      </c>
      <c r="C16" s="8" t="s">
        <v>236</v>
      </c>
      <c r="D16" s="8">
        <v>0.27</v>
      </c>
      <c r="E16" s="8">
        <v>0.18</v>
      </c>
      <c r="F16" s="8">
        <v>0.42</v>
      </c>
      <c r="G16" s="8">
        <v>5.8400000000000001E-2</v>
      </c>
    </row>
    <row r="17" spans="1:7" x14ac:dyDescent="0.2">
      <c r="A17" s="8" t="s">
        <v>240</v>
      </c>
      <c r="B17" t="s">
        <v>1196</v>
      </c>
      <c r="C17" s="8" t="s">
        <v>237</v>
      </c>
      <c r="D17" s="8">
        <v>0.26</v>
      </c>
      <c r="E17" s="8">
        <v>0.18</v>
      </c>
      <c r="F17" s="8">
        <v>0.37</v>
      </c>
      <c r="G17" s="8">
        <v>4.7800000000000002E-2</v>
      </c>
    </row>
    <row r="18" spans="1:7" x14ac:dyDescent="0.2">
      <c r="A18" s="8" t="s">
        <v>240</v>
      </c>
      <c r="B18" t="s">
        <v>1196</v>
      </c>
      <c r="C18" s="8" t="s">
        <v>238</v>
      </c>
      <c r="D18" s="8">
        <v>0.16</v>
      </c>
      <c r="E18" s="8">
        <v>0.09</v>
      </c>
      <c r="F18" s="8">
        <v>0.3</v>
      </c>
      <c r="G18" s="8">
        <v>4.9099999999999998E-2</v>
      </c>
    </row>
    <row r="19" spans="1:7" x14ac:dyDescent="0.2">
      <c r="A19" s="8" t="s">
        <v>240</v>
      </c>
      <c r="B19" t="s">
        <v>1196</v>
      </c>
      <c r="C19" s="8" t="s">
        <v>239</v>
      </c>
      <c r="D19" s="8">
        <v>0.11</v>
      </c>
      <c r="E19" s="8">
        <v>0.04</v>
      </c>
      <c r="F19" s="8">
        <v>0.35</v>
      </c>
      <c r="G19" s="8">
        <v>6.0900000000000003E-2</v>
      </c>
    </row>
    <row r="20" spans="1:7" x14ac:dyDescent="0.2">
      <c r="A20" s="8" t="s">
        <v>256</v>
      </c>
      <c r="B20" t="s">
        <v>1196</v>
      </c>
      <c r="C20" s="8" t="s">
        <v>228</v>
      </c>
      <c r="D20" s="8">
        <v>1.08</v>
      </c>
      <c r="E20" s="8">
        <v>0.84</v>
      </c>
      <c r="F20" s="8">
        <v>1.38</v>
      </c>
      <c r="G20" s="8">
        <v>0.1368</v>
      </c>
    </row>
    <row r="21" spans="1:7" x14ac:dyDescent="0.2">
      <c r="A21" s="8" t="s">
        <v>241</v>
      </c>
      <c r="B21" t="s">
        <v>1196</v>
      </c>
      <c r="C21" s="8" t="s">
        <v>235</v>
      </c>
      <c r="D21" s="8">
        <v>1.04</v>
      </c>
      <c r="E21" s="8">
        <v>0.69</v>
      </c>
      <c r="F21" s="8">
        <v>1.59</v>
      </c>
      <c r="G21" s="8">
        <v>0.2215</v>
      </c>
    </row>
    <row r="22" spans="1:7" x14ac:dyDescent="0.2">
      <c r="A22" s="8" t="s">
        <v>241</v>
      </c>
      <c r="B22" t="s">
        <v>1196</v>
      </c>
      <c r="C22" s="8" t="s">
        <v>236</v>
      </c>
      <c r="D22" s="8">
        <v>1.08</v>
      </c>
      <c r="E22" s="8">
        <v>0.65</v>
      </c>
      <c r="F22" s="8">
        <v>1.79</v>
      </c>
      <c r="G22" s="8">
        <v>0.27910000000000001</v>
      </c>
    </row>
    <row r="23" spans="1:7" x14ac:dyDescent="0.2">
      <c r="A23" s="8" t="s">
        <v>241</v>
      </c>
      <c r="B23" t="s">
        <v>1196</v>
      </c>
      <c r="C23" s="8" t="s">
        <v>237</v>
      </c>
      <c r="D23" s="8">
        <v>1.43</v>
      </c>
      <c r="E23" s="8">
        <v>0.92</v>
      </c>
      <c r="F23" s="8">
        <v>2.2200000000000002</v>
      </c>
      <c r="G23" s="8">
        <v>0.32129999999999997</v>
      </c>
    </row>
    <row r="24" spans="1:7" x14ac:dyDescent="0.2">
      <c r="A24" s="8" t="s">
        <v>241</v>
      </c>
      <c r="B24" t="s">
        <v>1196</v>
      </c>
      <c r="C24" s="8" t="s">
        <v>238</v>
      </c>
      <c r="D24" s="8">
        <v>0.66</v>
      </c>
      <c r="E24" s="8">
        <v>0.27</v>
      </c>
      <c r="F24" s="8">
        <v>1.6</v>
      </c>
      <c r="G24" s="8">
        <v>0.29959999999999998</v>
      </c>
    </row>
    <row r="25" spans="1:7" x14ac:dyDescent="0.2">
      <c r="A25" s="8" t="s">
        <v>241</v>
      </c>
      <c r="B25" t="s">
        <v>1196</v>
      </c>
      <c r="C25" s="8" t="s">
        <v>239</v>
      </c>
      <c r="D25" s="8">
        <v>0.73</v>
      </c>
      <c r="E25" s="8">
        <v>0.23</v>
      </c>
      <c r="F25" s="8">
        <v>2.2999999999999998</v>
      </c>
      <c r="G25" s="8">
        <v>0.42880000000000001</v>
      </c>
    </row>
    <row r="26" spans="1:7" x14ac:dyDescent="0.2">
      <c r="A26" s="8" t="s">
        <v>254</v>
      </c>
      <c r="B26" t="s">
        <v>1175</v>
      </c>
      <c r="C26" s="8" t="s">
        <v>228</v>
      </c>
      <c r="D26" s="8">
        <v>1.32</v>
      </c>
      <c r="E26" s="8">
        <v>1.17</v>
      </c>
      <c r="F26" s="8">
        <v>1.5</v>
      </c>
      <c r="G26" s="8">
        <v>8.3699999999999997E-2</v>
      </c>
    </row>
    <row r="27" spans="1:7" x14ac:dyDescent="0.2">
      <c r="A27" s="8" t="s">
        <v>243</v>
      </c>
      <c r="B27" t="s">
        <v>1175</v>
      </c>
      <c r="C27" s="8" t="s">
        <v>235</v>
      </c>
      <c r="D27" s="8">
        <v>0.99</v>
      </c>
      <c r="E27" s="8">
        <v>0.38</v>
      </c>
      <c r="F27" s="8">
        <v>1.26</v>
      </c>
      <c r="G27" s="8">
        <v>0.30270000000000002</v>
      </c>
    </row>
    <row r="28" spans="1:7" x14ac:dyDescent="0.2">
      <c r="A28" s="8" t="s">
        <v>243</v>
      </c>
      <c r="B28" t="s">
        <v>1175</v>
      </c>
      <c r="C28" s="8" t="s">
        <v>236</v>
      </c>
      <c r="D28" s="8">
        <v>1.49</v>
      </c>
      <c r="E28" s="8">
        <v>1.1399999999999999</v>
      </c>
      <c r="F28" s="8">
        <v>1.95</v>
      </c>
      <c r="G28" s="8">
        <v>0.20399999999999999</v>
      </c>
    </row>
    <row r="29" spans="1:7" x14ac:dyDescent="0.2">
      <c r="A29" s="8" t="s">
        <v>243</v>
      </c>
      <c r="B29" t="s">
        <v>1175</v>
      </c>
      <c r="C29" s="8" t="s">
        <v>237</v>
      </c>
      <c r="D29" s="8">
        <v>1.23</v>
      </c>
      <c r="E29" s="8">
        <v>1.03</v>
      </c>
      <c r="F29" s="8">
        <v>1.64</v>
      </c>
      <c r="G29" s="8">
        <v>0.1459</v>
      </c>
    </row>
    <row r="30" spans="1:7" x14ac:dyDescent="0.2">
      <c r="A30" s="8" t="s">
        <v>243</v>
      </c>
      <c r="B30" t="s">
        <v>1175</v>
      </c>
      <c r="C30" s="8" t="s">
        <v>238</v>
      </c>
      <c r="D30" s="8">
        <v>1.7</v>
      </c>
      <c r="E30" s="8">
        <v>1.25</v>
      </c>
      <c r="F30" s="8">
        <v>2.3199999999999998</v>
      </c>
      <c r="G30" s="8">
        <v>0.26819999999999999</v>
      </c>
    </row>
    <row r="31" spans="1:7" x14ac:dyDescent="0.2">
      <c r="A31" s="8" t="s">
        <v>243</v>
      </c>
      <c r="B31" t="s">
        <v>1175</v>
      </c>
      <c r="C31" s="8" t="s">
        <v>239</v>
      </c>
      <c r="D31" s="8">
        <v>1.58</v>
      </c>
      <c r="E31" s="8">
        <v>1.05</v>
      </c>
      <c r="F31" s="8">
        <v>2.4</v>
      </c>
      <c r="G31" s="8">
        <v>0.3332</v>
      </c>
    </row>
    <row r="32" spans="1:7" x14ac:dyDescent="0.2">
      <c r="A32" s="8" t="s">
        <v>244</v>
      </c>
      <c r="B32" t="s">
        <v>1175</v>
      </c>
      <c r="C32" s="8" t="s">
        <v>228</v>
      </c>
      <c r="D32" s="8">
        <v>1.1499999999999999</v>
      </c>
      <c r="E32" s="8">
        <v>1.02</v>
      </c>
      <c r="F32" s="8">
        <v>1.3</v>
      </c>
      <c r="G32" s="8">
        <v>7.1199999999999999E-2</v>
      </c>
    </row>
    <row r="33" spans="1:7" x14ac:dyDescent="0.2">
      <c r="A33" s="8" t="s">
        <v>244</v>
      </c>
      <c r="B33" t="s">
        <v>1175</v>
      </c>
      <c r="C33" s="8" t="s">
        <v>235</v>
      </c>
      <c r="D33" s="8">
        <v>1.23</v>
      </c>
      <c r="E33" s="8">
        <v>0.97</v>
      </c>
      <c r="F33" s="8">
        <v>1.55</v>
      </c>
      <c r="G33" s="8">
        <v>0.14710000000000001</v>
      </c>
    </row>
    <row r="34" spans="1:7" x14ac:dyDescent="0.2">
      <c r="A34" s="8" t="s">
        <v>244</v>
      </c>
      <c r="B34" t="s">
        <v>1175</v>
      </c>
      <c r="C34" s="8" t="s">
        <v>236</v>
      </c>
      <c r="D34" s="8">
        <v>1.04</v>
      </c>
      <c r="E34" s="8">
        <v>0.8</v>
      </c>
      <c r="F34" s="8">
        <v>1.35</v>
      </c>
      <c r="G34" s="8">
        <v>0.13880000000000001</v>
      </c>
    </row>
    <row r="35" spans="1:7" x14ac:dyDescent="0.2">
      <c r="A35" s="8" t="s">
        <v>244</v>
      </c>
      <c r="B35" t="s">
        <v>1175</v>
      </c>
      <c r="C35" s="8" t="s">
        <v>237</v>
      </c>
      <c r="D35" s="8">
        <v>1.1200000000000001</v>
      </c>
      <c r="E35" s="8">
        <v>0.9</v>
      </c>
      <c r="F35" s="8">
        <v>1.4</v>
      </c>
      <c r="G35" s="8">
        <v>0.12620000000000001</v>
      </c>
    </row>
    <row r="36" spans="1:7" x14ac:dyDescent="0.2">
      <c r="A36" s="8" t="s">
        <v>244</v>
      </c>
      <c r="B36" t="s">
        <v>1175</v>
      </c>
      <c r="C36" s="8" t="s">
        <v>238</v>
      </c>
      <c r="D36" s="8">
        <v>1.1100000000000001</v>
      </c>
      <c r="E36" s="8">
        <v>0.82</v>
      </c>
      <c r="F36" s="8">
        <v>1.5</v>
      </c>
      <c r="G36" s="8">
        <v>0.17100000000000001</v>
      </c>
    </row>
    <row r="37" spans="1:7" x14ac:dyDescent="0.2">
      <c r="A37" s="8" t="s">
        <v>244</v>
      </c>
      <c r="B37" t="s">
        <v>1175</v>
      </c>
      <c r="C37" s="8" t="s">
        <v>239</v>
      </c>
      <c r="D37" s="8">
        <v>1.27</v>
      </c>
      <c r="E37" s="8">
        <v>0.84</v>
      </c>
      <c r="F37" s="8">
        <v>1.9</v>
      </c>
      <c r="G37" s="8">
        <v>0.26440000000000002</v>
      </c>
    </row>
    <row r="38" spans="1:7" x14ac:dyDescent="0.2">
      <c r="A38" s="8" t="s">
        <v>245</v>
      </c>
      <c r="B38" t="s">
        <v>223</v>
      </c>
      <c r="C38" s="8" t="s">
        <v>228</v>
      </c>
      <c r="D38" s="8">
        <v>1.04</v>
      </c>
      <c r="E38" s="8">
        <v>0.89</v>
      </c>
      <c r="F38" s="8">
        <v>1.23</v>
      </c>
      <c r="G38" s="8">
        <v>8.5800000000000001E-2</v>
      </c>
    </row>
    <row r="39" spans="1:7" x14ac:dyDescent="0.2">
      <c r="A39" s="8" t="s">
        <v>245</v>
      </c>
      <c r="B39" t="s">
        <v>223</v>
      </c>
      <c r="C39" s="8" t="s">
        <v>235</v>
      </c>
      <c r="D39" s="8">
        <v>1.07</v>
      </c>
      <c r="E39" s="8">
        <v>0.77</v>
      </c>
      <c r="F39" s="8">
        <v>1.5</v>
      </c>
      <c r="G39" s="8">
        <v>0.182</v>
      </c>
    </row>
    <row r="40" spans="1:7" x14ac:dyDescent="0.2">
      <c r="A40" s="8" t="s">
        <v>245</v>
      </c>
      <c r="B40" t="s">
        <v>223</v>
      </c>
      <c r="C40" s="8" t="s">
        <v>236</v>
      </c>
      <c r="D40" s="8">
        <v>0.98</v>
      </c>
      <c r="E40" s="8">
        <v>0.7</v>
      </c>
      <c r="F40" s="8">
        <v>1.38</v>
      </c>
      <c r="G40" s="8">
        <v>0.16969999999999999</v>
      </c>
    </row>
    <row r="41" spans="1:7" x14ac:dyDescent="0.2">
      <c r="A41" s="8" t="s">
        <v>245</v>
      </c>
      <c r="B41" t="s">
        <v>223</v>
      </c>
      <c r="C41" s="8" t="s">
        <v>237</v>
      </c>
      <c r="D41" s="8">
        <v>1.08</v>
      </c>
      <c r="E41" s="8">
        <v>0.81</v>
      </c>
      <c r="F41" s="8">
        <v>1.44</v>
      </c>
      <c r="G41" s="8">
        <v>0.1585</v>
      </c>
    </row>
    <row r="42" spans="1:7" x14ac:dyDescent="0.2">
      <c r="A42" s="8" t="s">
        <v>245</v>
      </c>
      <c r="B42" t="s">
        <v>223</v>
      </c>
      <c r="C42" s="8" t="s">
        <v>238</v>
      </c>
      <c r="D42" s="8">
        <v>1.0900000000000001</v>
      </c>
      <c r="E42" s="8">
        <v>0.72</v>
      </c>
      <c r="F42" s="8">
        <v>1.64</v>
      </c>
      <c r="G42" s="8">
        <v>0.22889999999999999</v>
      </c>
    </row>
    <row r="43" spans="1:7" x14ac:dyDescent="0.2">
      <c r="A43" s="8" t="s">
        <v>245</v>
      </c>
      <c r="B43" t="s">
        <v>223</v>
      </c>
      <c r="C43" s="8" t="s">
        <v>239</v>
      </c>
      <c r="D43" s="8">
        <v>0.67</v>
      </c>
      <c r="E43" s="8">
        <v>0.28999999999999998</v>
      </c>
      <c r="F43" s="8">
        <v>1.52</v>
      </c>
      <c r="G43" s="8">
        <v>0.28310000000000002</v>
      </c>
    </row>
    <row r="44" spans="1:7" x14ac:dyDescent="0.2">
      <c r="A44" s="8" t="s">
        <v>246</v>
      </c>
      <c r="B44" t="s">
        <v>223</v>
      </c>
      <c r="C44" s="8" t="s">
        <v>228</v>
      </c>
      <c r="D44" s="8">
        <v>1.55</v>
      </c>
      <c r="E44" s="8">
        <v>1.36</v>
      </c>
      <c r="F44" s="8">
        <v>1.76</v>
      </c>
      <c r="G44" s="8">
        <v>0.1019</v>
      </c>
    </row>
    <row r="45" spans="1:7" x14ac:dyDescent="0.2">
      <c r="A45" s="8" t="s">
        <v>246</v>
      </c>
      <c r="B45" t="s">
        <v>223</v>
      </c>
      <c r="C45" s="8" t="s">
        <v>235</v>
      </c>
      <c r="D45" s="8">
        <v>1.48</v>
      </c>
      <c r="E45" s="8">
        <v>1.17</v>
      </c>
      <c r="F45" s="8">
        <v>1.88</v>
      </c>
      <c r="G45" s="8">
        <v>0.17910000000000001</v>
      </c>
    </row>
    <row r="46" spans="1:7" x14ac:dyDescent="0.2">
      <c r="A46" s="8" t="s">
        <v>246</v>
      </c>
      <c r="B46" t="s">
        <v>223</v>
      </c>
      <c r="C46" s="8" t="s">
        <v>236</v>
      </c>
      <c r="D46" s="8">
        <v>1.6</v>
      </c>
      <c r="E46" s="8">
        <v>1.21</v>
      </c>
      <c r="F46" s="8">
        <v>2.11</v>
      </c>
      <c r="G46" s="8">
        <v>0.22700000000000001</v>
      </c>
    </row>
    <row r="47" spans="1:7" x14ac:dyDescent="0.2">
      <c r="A47" s="8" t="s">
        <v>246</v>
      </c>
      <c r="B47" t="s">
        <v>223</v>
      </c>
      <c r="C47" s="8" t="s">
        <v>237</v>
      </c>
      <c r="D47" s="8">
        <v>1.42</v>
      </c>
      <c r="E47" s="8">
        <v>1.1200000000000001</v>
      </c>
      <c r="F47" s="8">
        <v>1.8</v>
      </c>
      <c r="G47" s="8">
        <v>0.1719</v>
      </c>
    </row>
    <row r="48" spans="1:7" x14ac:dyDescent="0.2">
      <c r="A48" s="8" t="s">
        <v>246</v>
      </c>
      <c r="B48" t="s">
        <v>223</v>
      </c>
      <c r="C48" s="8" t="s">
        <v>238</v>
      </c>
      <c r="D48" s="8">
        <v>2.0299999999999998</v>
      </c>
      <c r="E48" s="8">
        <v>1.46</v>
      </c>
      <c r="F48" s="8">
        <v>2.83</v>
      </c>
      <c r="G48" s="8">
        <v>0.3427</v>
      </c>
    </row>
    <row r="49" spans="1:7" x14ac:dyDescent="0.2">
      <c r="A49" s="8" t="s">
        <v>246</v>
      </c>
      <c r="B49" t="s">
        <v>223</v>
      </c>
      <c r="C49" s="8" t="s">
        <v>239</v>
      </c>
      <c r="D49" s="8">
        <v>1.66</v>
      </c>
      <c r="E49" s="8">
        <v>0.92</v>
      </c>
      <c r="F49" s="8">
        <v>2.98</v>
      </c>
      <c r="G49" s="8">
        <v>0.49769999999999998</v>
      </c>
    </row>
    <row r="50" spans="1:7" x14ac:dyDescent="0.2">
      <c r="A50" s="8" t="s">
        <v>247</v>
      </c>
      <c r="B50" t="s">
        <v>1175</v>
      </c>
      <c r="C50" s="8" t="s">
        <v>228</v>
      </c>
      <c r="D50" s="8">
        <v>1.22</v>
      </c>
      <c r="E50" s="8">
        <v>1.07</v>
      </c>
      <c r="F50" s="8">
        <v>1.39</v>
      </c>
      <c r="G50" s="8">
        <v>8.14E-2</v>
      </c>
    </row>
    <row r="51" spans="1:7" x14ac:dyDescent="0.2">
      <c r="A51" s="8" t="s">
        <v>247</v>
      </c>
      <c r="B51" t="s">
        <v>1175</v>
      </c>
      <c r="C51" s="8" t="s">
        <v>235</v>
      </c>
      <c r="D51" s="8">
        <v>1.1399999999999999</v>
      </c>
      <c r="E51" s="8">
        <v>0.86</v>
      </c>
      <c r="F51" s="8">
        <v>1.51</v>
      </c>
      <c r="G51" s="8">
        <v>0.16370000000000001</v>
      </c>
    </row>
    <row r="52" spans="1:7" x14ac:dyDescent="0.2">
      <c r="A52" s="8" t="s">
        <v>247</v>
      </c>
      <c r="B52" t="s">
        <v>1175</v>
      </c>
      <c r="C52" s="8" t="s">
        <v>236</v>
      </c>
      <c r="D52" s="8">
        <v>1.08</v>
      </c>
      <c r="E52" s="8">
        <v>0.8</v>
      </c>
      <c r="F52" s="8">
        <v>1.45</v>
      </c>
      <c r="G52" s="8">
        <v>0.1638</v>
      </c>
    </row>
    <row r="53" spans="1:7" x14ac:dyDescent="0.2">
      <c r="A53" s="8" t="s">
        <v>247</v>
      </c>
      <c r="B53" t="s">
        <v>1175</v>
      </c>
      <c r="C53" s="8" t="s">
        <v>237</v>
      </c>
      <c r="D53" s="8">
        <v>1.29</v>
      </c>
      <c r="E53" s="8">
        <v>1.02</v>
      </c>
      <c r="F53" s="8">
        <v>1.64</v>
      </c>
      <c r="G53" s="8">
        <v>0.15629999999999999</v>
      </c>
    </row>
    <row r="54" spans="1:7" x14ac:dyDescent="0.2">
      <c r="A54" s="8" t="s">
        <v>247</v>
      </c>
      <c r="B54" t="s">
        <v>1175</v>
      </c>
      <c r="C54" s="8" t="s">
        <v>238</v>
      </c>
      <c r="D54" s="8">
        <v>1.2</v>
      </c>
      <c r="E54" s="8">
        <v>0.87</v>
      </c>
      <c r="F54" s="8">
        <v>1.67</v>
      </c>
      <c r="G54" s="8">
        <v>0.1996</v>
      </c>
    </row>
    <row r="55" spans="1:7" x14ac:dyDescent="0.2">
      <c r="A55" s="8" t="s">
        <v>247</v>
      </c>
      <c r="B55" t="s">
        <v>1175</v>
      </c>
      <c r="C55" s="8" t="s">
        <v>239</v>
      </c>
      <c r="D55" s="8">
        <v>1.43</v>
      </c>
      <c r="E55" s="8">
        <v>0.91</v>
      </c>
      <c r="F55" s="8">
        <v>2.2400000000000002</v>
      </c>
      <c r="G55" s="8">
        <v>0.3286</v>
      </c>
    </row>
    <row r="56" spans="1:7" x14ac:dyDescent="0.2">
      <c r="A56" s="8" t="s">
        <v>248</v>
      </c>
      <c r="B56" t="s">
        <v>1173</v>
      </c>
      <c r="C56" s="8" t="s">
        <v>228</v>
      </c>
      <c r="D56" s="8">
        <v>0.99</v>
      </c>
      <c r="E56" s="8">
        <v>0.88</v>
      </c>
      <c r="F56" s="8">
        <v>1.1100000000000001</v>
      </c>
      <c r="G56" s="8">
        <v>5.8599999999999999E-2</v>
      </c>
    </row>
    <row r="57" spans="1:7" x14ac:dyDescent="0.2">
      <c r="A57" s="8" t="s">
        <v>248</v>
      </c>
      <c r="B57" t="s">
        <v>1173</v>
      </c>
      <c r="C57" s="8" t="s">
        <v>235</v>
      </c>
      <c r="D57" s="8">
        <v>1.1100000000000001</v>
      </c>
      <c r="E57" s="8">
        <v>0.87</v>
      </c>
      <c r="F57" s="8">
        <v>1.4</v>
      </c>
      <c r="G57" s="8">
        <v>0.13469999999999999</v>
      </c>
    </row>
    <row r="58" spans="1:7" x14ac:dyDescent="0.2">
      <c r="A58" s="8" t="s">
        <v>248</v>
      </c>
      <c r="B58" t="s">
        <v>1173</v>
      </c>
      <c r="C58" s="8" t="s">
        <v>236</v>
      </c>
      <c r="D58" s="8">
        <v>0.92</v>
      </c>
      <c r="E58" s="8">
        <v>0.71</v>
      </c>
      <c r="F58" s="8">
        <v>1.18</v>
      </c>
      <c r="G58" s="8">
        <v>0.1192</v>
      </c>
    </row>
    <row r="59" spans="1:7" x14ac:dyDescent="0.2">
      <c r="A59" s="8" t="s">
        <v>248</v>
      </c>
      <c r="B59" t="s">
        <v>1173</v>
      </c>
      <c r="C59" s="8" t="s">
        <v>237</v>
      </c>
      <c r="D59" s="8">
        <v>1.1000000000000001</v>
      </c>
      <c r="E59" s="8">
        <v>0.89</v>
      </c>
      <c r="F59" s="8">
        <v>1.35</v>
      </c>
      <c r="G59" s="8">
        <v>0.1169</v>
      </c>
    </row>
    <row r="60" spans="1:7" x14ac:dyDescent="0.2">
      <c r="A60" s="8" t="s">
        <v>248</v>
      </c>
      <c r="B60" t="s">
        <v>1173</v>
      </c>
      <c r="C60" s="8" t="s">
        <v>238</v>
      </c>
      <c r="D60" s="8">
        <v>0.89</v>
      </c>
      <c r="E60" s="8">
        <v>0.67</v>
      </c>
      <c r="F60" s="8">
        <v>1.19</v>
      </c>
      <c r="G60" s="8">
        <v>0.13039999999999999</v>
      </c>
    </row>
    <row r="61" spans="1:7" x14ac:dyDescent="0.2">
      <c r="A61" s="8" t="s">
        <v>248</v>
      </c>
      <c r="B61" t="s">
        <v>1173</v>
      </c>
      <c r="C61" s="8" t="s">
        <v>239</v>
      </c>
      <c r="D61" s="8">
        <v>0.76</v>
      </c>
      <c r="E61" s="8">
        <v>0.52</v>
      </c>
      <c r="F61" s="8">
        <v>1.1100000000000001</v>
      </c>
      <c r="G61" s="8">
        <v>0.14699999999999999</v>
      </c>
    </row>
    <row r="62" spans="1:7" x14ac:dyDescent="0.2">
      <c r="A62" s="8" t="s">
        <v>249</v>
      </c>
      <c r="B62" t="s">
        <v>1181</v>
      </c>
      <c r="C62" s="8" t="s">
        <v>228</v>
      </c>
      <c r="D62" s="8">
        <v>1.41</v>
      </c>
      <c r="E62" s="8">
        <v>1.22</v>
      </c>
      <c r="F62" s="8">
        <v>1.63</v>
      </c>
      <c r="G62" s="8">
        <v>0.1042</v>
      </c>
    </row>
    <row r="63" spans="1:7" x14ac:dyDescent="0.2">
      <c r="A63" s="8" t="s">
        <v>249</v>
      </c>
      <c r="B63" t="s">
        <v>1181</v>
      </c>
      <c r="C63" s="8" t="s">
        <v>235</v>
      </c>
      <c r="D63" s="8">
        <v>1.54</v>
      </c>
      <c r="E63" s="8">
        <v>1.1599999999999999</v>
      </c>
      <c r="F63" s="8">
        <v>2.04</v>
      </c>
      <c r="G63" s="8">
        <v>0.2218</v>
      </c>
    </row>
    <row r="64" spans="1:7" x14ac:dyDescent="0.2">
      <c r="A64" s="8" t="s">
        <v>249</v>
      </c>
      <c r="B64" t="s">
        <v>1181</v>
      </c>
      <c r="C64" s="8" t="s">
        <v>236</v>
      </c>
      <c r="D64" s="8">
        <v>1.1399999999999999</v>
      </c>
      <c r="E64" s="8">
        <v>0.84</v>
      </c>
      <c r="F64" s="8">
        <v>1.56</v>
      </c>
      <c r="G64" s="8">
        <v>0.18</v>
      </c>
    </row>
    <row r="65" spans="1:7" x14ac:dyDescent="0.2">
      <c r="A65" s="8" t="s">
        <v>249</v>
      </c>
      <c r="B65" t="s">
        <v>1181</v>
      </c>
      <c r="C65" s="8" t="s">
        <v>237</v>
      </c>
      <c r="D65" s="8">
        <v>1.54</v>
      </c>
      <c r="E65" s="8">
        <v>1.18</v>
      </c>
      <c r="F65" s="8">
        <v>2</v>
      </c>
      <c r="G65" s="8">
        <v>0.20730000000000001</v>
      </c>
    </row>
    <row r="66" spans="1:7" x14ac:dyDescent="0.2">
      <c r="A66" s="8" t="s">
        <v>249</v>
      </c>
      <c r="B66" t="s">
        <v>1181</v>
      </c>
      <c r="C66" s="8" t="s">
        <v>238</v>
      </c>
      <c r="D66" s="8">
        <v>1.5</v>
      </c>
      <c r="E66" s="8">
        <v>1.03</v>
      </c>
      <c r="F66" s="8">
        <v>2.19</v>
      </c>
      <c r="G66" s="8">
        <v>0.28870000000000001</v>
      </c>
    </row>
    <row r="67" spans="1:7" x14ac:dyDescent="0.2">
      <c r="A67" s="8" t="s">
        <v>249</v>
      </c>
      <c r="B67" t="s">
        <v>1181</v>
      </c>
      <c r="C67" s="8" t="s">
        <v>239</v>
      </c>
      <c r="D67" s="8">
        <v>1.93</v>
      </c>
      <c r="E67" s="8">
        <v>1.06</v>
      </c>
      <c r="F67" s="8">
        <v>3.51</v>
      </c>
      <c r="G67" s="8">
        <v>0.58950000000000002</v>
      </c>
    </row>
    <row r="68" spans="1:7" x14ac:dyDescent="0.2">
      <c r="A68" s="8" t="s">
        <v>257</v>
      </c>
      <c r="B68" t="s">
        <v>1181</v>
      </c>
      <c r="C68" s="8" t="s">
        <v>228</v>
      </c>
      <c r="D68" s="8">
        <v>2.48</v>
      </c>
      <c r="E68" s="8">
        <v>2.06</v>
      </c>
      <c r="F68" s="8">
        <v>2.98</v>
      </c>
      <c r="G68" s="8">
        <v>0.2336</v>
      </c>
    </row>
    <row r="69" spans="1:7" x14ac:dyDescent="0.2">
      <c r="A69" s="8" t="s">
        <v>257</v>
      </c>
      <c r="B69" t="s">
        <v>1181</v>
      </c>
      <c r="C69" s="8" t="s">
        <v>235</v>
      </c>
      <c r="D69" s="8">
        <v>2.57</v>
      </c>
      <c r="E69" s="8">
        <v>1.82</v>
      </c>
      <c r="F69" s="8">
        <v>3.63</v>
      </c>
      <c r="G69" s="8">
        <v>0.4526</v>
      </c>
    </row>
    <row r="70" spans="1:7" x14ac:dyDescent="0.2">
      <c r="A70" s="8" t="s">
        <v>257</v>
      </c>
      <c r="B70" t="s">
        <v>1181</v>
      </c>
      <c r="C70" s="8" t="s">
        <v>236</v>
      </c>
      <c r="D70" s="8">
        <v>2.04</v>
      </c>
      <c r="E70" s="8">
        <v>1.37</v>
      </c>
      <c r="F70" s="8">
        <v>3.02</v>
      </c>
      <c r="G70" s="8">
        <v>0.41139999999999999</v>
      </c>
    </row>
    <row r="71" spans="1:7" x14ac:dyDescent="0.2">
      <c r="A71" s="8" t="s">
        <v>257</v>
      </c>
      <c r="B71" t="s">
        <v>1181</v>
      </c>
      <c r="C71" s="8" t="s">
        <v>237</v>
      </c>
      <c r="D71" s="8">
        <v>2.46</v>
      </c>
      <c r="E71" s="8">
        <v>1.74</v>
      </c>
      <c r="F71" s="8">
        <v>3.47</v>
      </c>
      <c r="G71" s="8">
        <v>0.43319999999999997</v>
      </c>
    </row>
    <row r="72" spans="1:7" x14ac:dyDescent="0.2">
      <c r="A72" s="8" t="s">
        <v>257</v>
      </c>
      <c r="B72" t="s">
        <v>1181</v>
      </c>
      <c r="C72" s="8" t="s">
        <v>238</v>
      </c>
      <c r="D72" s="8">
        <v>3.07</v>
      </c>
      <c r="E72" s="8">
        <v>1.82</v>
      </c>
      <c r="F72" s="8">
        <v>5.17</v>
      </c>
      <c r="G72" s="8">
        <v>0.81769999999999998</v>
      </c>
    </row>
    <row r="73" spans="1:7" x14ac:dyDescent="0.2">
      <c r="A73" s="8" t="s">
        <v>257</v>
      </c>
      <c r="B73" t="s">
        <v>1181</v>
      </c>
      <c r="C73" s="8" t="s">
        <v>239</v>
      </c>
      <c r="D73" s="8">
        <v>6.01</v>
      </c>
      <c r="E73" s="8">
        <v>2.67</v>
      </c>
      <c r="F73" s="8">
        <v>13.53</v>
      </c>
      <c r="G73" s="8">
        <v>2.4881000000000002</v>
      </c>
    </row>
    <row r="74" spans="1:7" x14ac:dyDescent="0.2">
      <c r="A74" s="8" t="s">
        <v>263</v>
      </c>
      <c r="B74" t="s">
        <v>1173</v>
      </c>
      <c r="C74" s="8" t="s">
        <v>228</v>
      </c>
      <c r="D74" s="8">
        <v>0.92</v>
      </c>
      <c r="E74" s="8">
        <v>0.8</v>
      </c>
      <c r="F74" s="8">
        <v>1.08</v>
      </c>
      <c r="G74" s="8">
        <v>7.0400000000000004E-2</v>
      </c>
    </row>
    <row r="75" spans="1:7" x14ac:dyDescent="0.2">
      <c r="A75" s="8" t="s">
        <v>261</v>
      </c>
      <c r="B75" t="s">
        <v>1173</v>
      </c>
      <c r="C75" s="8" t="s">
        <v>235</v>
      </c>
      <c r="D75" s="8">
        <v>0.83</v>
      </c>
      <c r="E75" s="8">
        <v>0.63</v>
      </c>
      <c r="F75" s="8">
        <v>1.1100000000000001</v>
      </c>
      <c r="G75" s="8">
        <v>0.11990000000000001</v>
      </c>
    </row>
    <row r="76" spans="1:7" x14ac:dyDescent="0.2">
      <c r="A76" s="8" t="s">
        <v>261</v>
      </c>
      <c r="B76" t="s">
        <v>1173</v>
      </c>
      <c r="C76" s="8" t="s">
        <v>236</v>
      </c>
      <c r="D76" s="8">
        <v>0.91</v>
      </c>
      <c r="E76" s="8">
        <v>0.66</v>
      </c>
      <c r="F76" s="8">
        <v>1.24</v>
      </c>
      <c r="G76" s="8">
        <v>0.1464</v>
      </c>
    </row>
    <row r="77" spans="1:7" x14ac:dyDescent="0.2">
      <c r="A77" s="8" t="s">
        <v>261</v>
      </c>
      <c r="B77" t="s">
        <v>1173</v>
      </c>
      <c r="C77" s="8" t="s">
        <v>237</v>
      </c>
      <c r="D77" s="8">
        <v>0.86</v>
      </c>
      <c r="E77" s="8">
        <v>0.65</v>
      </c>
      <c r="F77" s="8">
        <v>1.1399999999999999</v>
      </c>
      <c r="G77" s="8">
        <v>0.12330000000000001</v>
      </c>
    </row>
    <row r="78" spans="1:7" x14ac:dyDescent="0.2">
      <c r="A78" s="8" t="s">
        <v>261</v>
      </c>
      <c r="B78" t="s">
        <v>1173</v>
      </c>
      <c r="C78" s="8" t="s">
        <v>238</v>
      </c>
      <c r="D78" s="8">
        <v>1.1200000000000001</v>
      </c>
      <c r="E78" s="8">
        <v>0.73</v>
      </c>
      <c r="F78" s="8">
        <v>1.71</v>
      </c>
      <c r="G78" s="8">
        <v>0.2432</v>
      </c>
    </row>
    <row r="79" spans="1:7" x14ac:dyDescent="0.2">
      <c r="A79" s="8" t="s">
        <v>261</v>
      </c>
      <c r="B79" t="s">
        <v>1173</v>
      </c>
      <c r="C79" s="8" t="s">
        <v>239</v>
      </c>
      <c r="D79" s="8">
        <v>1.65</v>
      </c>
      <c r="E79" s="8">
        <v>0.86</v>
      </c>
      <c r="F79" s="8">
        <v>3.18</v>
      </c>
      <c r="G79" s="8">
        <v>0.5504</v>
      </c>
    </row>
    <row r="80" spans="1:7" x14ac:dyDescent="0.2">
      <c r="A80" s="8" t="s">
        <v>262</v>
      </c>
      <c r="B80" t="s">
        <v>1173</v>
      </c>
      <c r="C80" s="8" t="s">
        <v>228</v>
      </c>
      <c r="D80" s="8">
        <v>0.71</v>
      </c>
      <c r="E80" s="8">
        <v>0.59</v>
      </c>
      <c r="F80" s="8">
        <v>0.86</v>
      </c>
      <c r="G80" s="8">
        <v>6.8199999999999997E-2</v>
      </c>
    </row>
    <row r="81" spans="1:7" x14ac:dyDescent="0.2">
      <c r="A81" s="8" t="s">
        <v>262</v>
      </c>
      <c r="B81" t="s">
        <v>1173</v>
      </c>
      <c r="C81" s="8" t="s">
        <v>235</v>
      </c>
      <c r="D81" s="8">
        <v>0.97</v>
      </c>
      <c r="E81" s="8">
        <v>0.71</v>
      </c>
      <c r="F81" s="8">
        <v>1.32</v>
      </c>
      <c r="G81" s="8">
        <v>0.15340000000000001</v>
      </c>
    </row>
    <row r="82" spans="1:7" x14ac:dyDescent="0.2">
      <c r="A82" s="8" t="s">
        <v>262</v>
      </c>
      <c r="B82" t="s">
        <v>1173</v>
      </c>
      <c r="C82" s="8" t="s">
        <v>236</v>
      </c>
      <c r="D82" s="8">
        <v>0.69</v>
      </c>
      <c r="E82" s="8">
        <v>0.46</v>
      </c>
      <c r="F82" s="8">
        <v>1.05</v>
      </c>
      <c r="G82" s="8">
        <v>0.14530000000000001</v>
      </c>
    </row>
    <row r="83" spans="1:7" x14ac:dyDescent="0.2">
      <c r="A83" s="8" t="s">
        <v>262</v>
      </c>
      <c r="B83" t="s">
        <v>1173</v>
      </c>
      <c r="C83" s="8" t="s">
        <v>237</v>
      </c>
      <c r="D83" s="8">
        <v>0.56999999999999995</v>
      </c>
      <c r="E83" s="8">
        <v>0.4</v>
      </c>
      <c r="F83" s="8">
        <v>0.81</v>
      </c>
      <c r="G83" s="8">
        <v>0.1026</v>
      </c>
    </row>
    <row r="84" spans="1:7" x14ac:dyDescent="0.2">
      <c r="A84" s="8" t="s">
        <v>262</v>
      </c>
      <c r="B84" t="s">
        <v>1173</v>
      </c>
      <c r="C84" s="8" t="s">
        <v>238</v>
      </c>
      <c r="D84" s="8">
        <v>0.83</v>
      </c>
      <c r="E84" s="8">
        <v>0.5</v>
      </c>
      <c r="F84" s="8">
        <v>1.38</v>
      </c>
      <c r="G84" s="8">
        <v>0.215</v>
      </c>
    </row>
    <row r="85" spans="1:7" x14ac:dyDescent="0.2">
      <c r="A85" s="8" t="s">
        <v>262</v>
      </c>
      <c r="B85" t="s">
        <v>1173</v>
      </c>
      <c r="C85" s="8" t="s">
        <v>239</v>
      </c>
      <c r="D85" s="8">
        <v>1.19</v>
      </c>
      <c r="E85" s="8">
        <v>0.56000000000000005</v>
      </c>
      <c r="F85" s="8">
        <v>2.4900000000000002</v>
      </c>
      <c r="G85" s="8">
        <v>0.45300000000000001</v>
      </c>
    </row>
    <row r="86" spans="1:7" x14ac:dyDescent="0.2">
      <c r="A86" s="8" t="s">
        <v>1195</v>
      </c>
      <c r="B86" t="s">
        <v>1186</v>
      </c>
      <c r="C86" s="8" t="s">
        <v>228</v>
      </c>
      <c r="D86" s="8">
        <v>1.47</v>
      </c>
      <c r="E86" s="8">
        <v>1.24</v>
      </c>
      <c r="F86" s="8">
        <v>1.74</v>
      </c>
      <c r="G86" s="8">
        <v>0.127</v>
      </c>
    </row>
    <row r="87" spans="1:7" x14ac:dyDescent="0.2">
      <c r="A87" s="8" t="s">
        <v>264</v>
      </c>
      <c r="B87" t="s">
        <v>1186</v>
      </c>
      <c r="C87" s="8" t="s">
        <v>235</v>
      </c>
      <c r="D87" s="8">
        <v>1.05</v>
      </c>
      <c r="E87" s="8">
        <v>0.78</v>
      </c>
      <c r="F87" s="8">
        <v>1.42</v>
      </c>
      <c r="G87" s="8">
        <v>0.1605</v>
      </c>
    </row>
    <row r="88" spans="1:7" x14ac:dyDescent="0.2">
      <c r="A88" s="8" t="s">
        <v>264</v>
      </c>
      <c r="B88" t="s">
        <v>1186</v>
      </c>
      <c r="C88" s="8" t="s">
        <v>236</v>
      </c>
      <c r="D88" s="8">
        <v>2.19</v>
      </c>
      <c r="E88" s="8">
        <v>1.53</v>
      </c>
      <c r="F88" s="8">
        <v>3.15</v>
      </c>
      <c r="G88" s="8">
        <v>0.40339999999999998</v>
      </c>
    </row>
    <row r="89" spans="1:7" x14ac:dyDescent="0.2">
      <c r="A89" s="8" t="s">
        <v>264</v>
      </c>
      <c r="B89" t="s">
        <v>1186</v>
      </c>
      <c r="C89" s="8" t="s">
        <v>237</v>
      </c>
      <c r="D89" s="8">
        <v>1.7</v>
      </c>
      <c r="E89" s="8">
        <v>1.23</v>
      </c>
      <c r="F89" s="8">
        <v>2.36</v>
      </c>
      <c r="G89" s="8">
        <v>0.28260000000000002</v>
      </c>
    </row>
    <row r="90" spans="1:7" x14ac:dyDescent="0.2">
      <c r="A90" s="8" t="s">
        <v>264</v>
      </c>
      <c r="B90" t="s">
        <v>1186</v>
      </c>
      <c r="C90" s="8" t="s">
        <v>238</v>
      </c>
      <c r="D90" s="8">
        <v>1.34</v>
      </c>
      <c r="E90" s="8">
        <v>0.79</v>
      </c>
      <c r="F90" s="8">
        <v>2.2599999999999998</v>
      </c>
      <c r="G90" s="8">
        <v>0.35930000000000001</v>
      </c>
    </row>
    <row r="91" spans="1:7" x14ac:dyDescent="0.2">
      <c r="A91" s="8" t="s">
        <v>264</v>
      </c>
      <c r="B91" t="s">
        <v>1186</v>
      </c>
      <c r="C91" s="8" t="s">
        <v>239</v>
      </c>
      <c r="D91" s="8">
        <v>1.64</v>
      </c>
      <c r="E91" s="8">
        <v>0.69</v>
      </c>
      <c r="F91" s="8">
        <v>3.93</v>
      </c>
      <c r="G91" s="8">
        <v>0.7278</v>
      </c>
    </row>
    <row r="92" spans="1:7" x14ac:dyDescent="0.2">
      <c r="A92" s="8" t="s">
        <v>265</v>
      </c>
      <c r="B92" t="s">
        <v>1186</v>
      </c>
      <c r="C92" s="8" t="s">
        <v>228</v>
      </c>
      <c r="D92" s="8">
        <v>1.45</v>
      </c>
      <c r="E92" s="8">
        <v>1.23</v>
      </c>
      <c r="F92" s="8">
        <v>1.71</v>
      </c>
      <c r="G92" s="8">
        <v>0.12189999999999999</v>
      </c>
    </row>
    <row r="93" spans="1:7" x14ac:dyDescent="0.2">
      <c r="A93" s="8" t="s">
        <v>265</v>
      </c>
      <c r="B93" t="s">
        <v>1186</v>
      </c>
      <c r="C93" s="8" t="s">
        <v>235</v>
      </c>
      <c r="D93" s="8">
        <v>0.97</v>
      </c>
      <c r="E93" s="8">
        <v>0.71</v>
      </c>
      <c r="F93" s="8">
        <v>1.32</v>
      </c>
      <c r="G93" s="8">
        <v>0.15340000000000001</v>
      </c>
    </row>
    <row r="94" spans="1:7" x14ac:dyDescent="0.2">
      <c r="A94" s="8" t="s">
        <v>265</v>
      </c>
      <c r="B94" t="s">
        <v>1186</v>
      </c>
      <c r="C94" s="8" t="s">
        <v>236</v>
      </c>
      <c r="D94" s="8">
        <v>1.94</v>
      </c>
      <c r="E94" s="8">
        <v>1.36</v>
      </c>
      <c r="F94" s="8">
        <v>2.76</v>
      </c>
      <c r="G94" s="8">
        <v>0.3503</v>
      </c>
    </row>
    <row r="95" spans="1:7" x14ac:dyDescent="0.2">
      <c r="A95" s="8" t="s">
        <v>265</v>
      </c>
      <c r="B95" t="s">
        <v>1186</v>
      </c>
      <c r="C95" s="8" t="s">
        <v>237</v>
      </c>
      <c r="D95" s="8">
        <v>1.66</v>
      </c>
      <c r="E95" s="8">
        <v>1.22</v>
      </c>
      <c r="F95" s="8">
        <v>2.27</v>
      </c>
      <c r="G95" s="8">
        <v>0.26290000000000002</v>
      </c>
    </row>
    <row r="96" spans="1:7" x14ac:dyDescent="0.2">
      <c r="A96" s="8" t="s">
        <v>265</v>
      </c>
      <c r="B96" t="s">
        <v>1186</v>
      </c>
      <c r="C96" s="8" t="s">
        <v>238</v>
      </c>
      <c r="D96" s="8">
        <v>1.42</v>
      </c>
      <c r="E96" s="8">
        <v>0.91</v>
      </c>
      <c r="F96" s="8">
        <v>2.23</v>
      </c>
      <c r="G96" s="8">
        <v>0.32469999999999999</v>
      </c>
    </row>
    <row r="97" spans="1:7" x14ac:dyDescent="0.2">
      <c r="A97" s="8" t="s">
        <v>265</v>
      </c>
      <c r="B97" t="s">
        <v>1186</v>
      </c>
      <c r="C97" s="8" t="s">
        <v>239</v>
      </c>
      <c r="D97" s="8">
        <v>1.1000000000000001</v>
      </c>
      <c r="E97" s="8">
        <v>0.57999999999999996</v>
      </c>
      <c r="F97" s="8">
        <v>2.09</v>
      </c>
      <c r="G97" s="8">
        <v>0.35970000000000002</v>
      </c>
    </row>
    <row r="98" spans="1:7" x14ac:dyDescent="0.2">
      <c r="A98" s="8" t="s">
        <v>266</v>
      </c>
      <c r="B98" t="s">
        <v>1186</v>
      </c>
      <c r="C98" s="8" t="s">
        <v>228</v>
      </c>
      <c r="D98" s="8">
        <v>1.05</v>
      </c>
      <c r="E98" s="8">
        <v>0.79</v>
      </c>
      <c r="F98" s="8">
        <v>1.39</v>
      </c>
      <c r="G98" s="8">
        <v>0.15129999999999999</v>
      </c>
    </row>
    <row r="99" spans="1:7" x14ac:dyDescent="0.2">
      <c r="A99" s="8" t="s">
        <v>266</v>
      </c>
      <c r="B99" t="s">
        <v>1186</v>
      </c>
      <c r="C99" s="8" t="s">
        <v>235</v>
      </c>
      <c r="D99" s="8">
        <v>1.1200000000000001</v>
      </c>
      <c r="E99" s="8">
        <v>0.63</v>
      </c>
      <c r="F99" s="8">
        <v>2</v>
      </c>
      <c r="G99" s="8">
        <v>0.3301</v>
      </c>
    </row>
    <row r="100" spans="1:7" x14ac:dyDescent="0.2">
      <c r="A100" s="8" t="s">
        <v>266</v>
      </c>
      <c r="B100" t="s">
        <v>1186</v>
      </c>
      <c r="C100" s="8" t="s">
        <v>236</v>
      </c>
      <c r="D100" s="8">
        <v>0.88</v>
      </c>
      <c r="E100" s="8">
        <v>0.51</v>
      </c>
      <c r="F100" s="8">
        <v>1.5</v>
      </c>
      <c r="G100" s="8">
        <v>0.2422</v>
      </c>
    </row>
    <row r="101" spans="1:7" x14ac:dyDescent="0.2">
      <c r="A101" s="8" t="s">
        <v>266</v>
      </c>
      <c r="B101" t="s">
        <v>1186</v>
      </c>
      <c r="C101" s="8" t="s">
        <v>237</v>
      </c>
      <c r="D101" s="8">
        <v>1.1000000000000001</v>
      </c>
      <c r="E101" s="8">
        <v>0.67</v>
      </c>
      <c r="F101" s="8">
        <v>1.83</v>
      </c>
      <c r="G101" s="8">
        <v>0.28199999999999997</v>
      </c>
    </row>
    <row r="102" spans="1:7" x14ac:dyDescent="0.2">
      <c r="A102" s="8" t="s">
        <v>266</v>
      </c>
      <c r="B102" t="s">
        <v>1186</v>
      </c>
      <c r="C102" s="8" t="s">
        <v>238</v>
      </c>
      <c r="D102" s="8">
        <v>1.2</v>
      </c>
      <c r="E102" s="8">
        <v>0.54</v>
      </c>
      <c r="F102" s="8">
        <v>2.65</v>
      </c>
      <c r="G102" s="8">
        <v>0.48699999999999999</v>
      </c>
    </row>
    <row r="103" spans="1:7" x14ac:dyDescent="0.2">
      <c r="A103" s="8" t="s">
        <v>266</v>
      </c>
      <c r="B103" t="s">
        <v>1186</v>
      </c>
      <c r="C103" s="8" t="s">
        <v>239</v>
      </c>
      <c r="D103" s="8">
        <v>1.32</v>
      </c>
      <c r="E103" s="8">
        <v>0.28000000000000003</v>
      </c>
      <c r="F103" s="8">
        <v>6.35</v>
      </c>
      <c r="G103" s="8">
        <v>1.0510999999999999</v>
      </c>
    </row>
    <row r="104" spans="1:7" x14ac:dyDescent="0.2">
      <c r="A104" s="8" t="s">
        <v>267</v>
      </c>
      <c r="B104" t="s">
        <v>1186</v>
      </c>
      <c r="C104" s="8" t="s">
        <v>228</v>
      </c>
      <c r="D104" s="8">
        <v>1.23</v>
      </c>
      <c r="E104" s="8">
        <v>1.05</v>
      </c>
      <c r="F104" s="8">
        <v>1.43</v>
      </c>
      <c r="G104" s="8">
        <v>9.69E-2</v>
      </c>
    </row>
    <row r="105" spans="1:7" x14ac:dyDescent="0.2">
      <c r="A105" s="8" t="s">
        <v>267</v>
      </c>
      <c r="B105" t="s">
        <v>1186</v>
      </c>
      <c r="C105" s="8" t="s">
        <v>235</v>
      </c>
      <c r="D105" s="8">
        <v>1.24</v>
      </c>
      <c r="E105" s="8">
        <v>0.91</v>
      </c>
      <c r="F105" s="8">
        <v>1.7</v>
      </c>
      <c r="G105" s="8">
        <v>0.19769999999999999</v>
      </c>
    </row>
    <row r="106" spans="1:7" x14ac:dyDescent="0.2">
      <c r="A106" s="8" t="s">
        <v>267</v>
      </c>
      <c r="B106" t="s">
        <v>1186</v>
      </c>
      <c r="C106" s="8" t="s">
        <v>236</v>
      </c>
      <c r="D106" s="8">
        <v>1.57</v>
      </c>
      <c r="E106" s="8">
        <v>1.1399999999999999</v>
      </c>
      <c r="F106" s="8">
        <v>2.16</v>
      </c>
      <c r="G106" s="8">
        <v>0.25600000000000001</v>
      </c>
    </row>
    <row r="107" spans="1:7" x14ac:dyDescent="0.2">
      <c r="A107" s="8" t="s">
        <v>267</v>
      </c>
      <c r="B107" t="s">
        <v>1186</v>
      </c>
      <c r="C107" s="8" t="s">
        <v>237</v>
      </c>
      <c r="D107" s="8">
        <v>1.29</v>
      </c>
      <c r="E107" s="8">
        <v>0.98</v>
      </c>
      <c r="F107" s="8">
        <v>1.7</v>
      </c>
      <c r="G107" s="8">
        <v>0.18129999999999999</v>
      </c>
    </row>
    <row r="108" spans="1:7" x14ac:dyDescent="0.2">
      <c r="A108" s="8" t="s">
        <v>267</v>
      </c>
      <c r="B108" t="s">
        <v>1186</v>
      </c>
      <c r="C108" s="8" t="s">
        <v>238</v>
      </c>
      <c r="D108" s="8">
        <v>0.97</v>
      </c>
      <c r="E108" s="8">
        <v>0.65</v>
      </c>
      <c r="F108" s="8">
        <v>1.43</v>
      </c>
      <c r="G108" s="8">
        <v>0.1951</v>
      </c>
    </row>
    <row r="109" spans="1:7" x14ac:dyDescent="0.2">
      <c r="A109" s="8" t="s">
        <v>267</v>
      </c>
      <c r="B109" t="s">
        <v>1186</v>
      </c>
      <c r="C109" s="8" t="s">
        <v>239</v>
      </c>
      <c r="D109" s="8">
        <v>0.68</v>
      </c>
      <c r="E109" s="8">
        <v>0.38</v>
      </c>
      <c r="F109" s="8">
        <v>1.24</v>
      </c>
      <c r="G109" s="8">
        <v>0.20519999999999999</v>
      </c>
    </row>
    <row r="110" spans="1:7" x14ac:dyDescent="0.2">
      <c r="A110" s="8" t="s">
        <v>268</v>
      </c>
      <c r="B110" t="s">
        <v>1186</v>
      </c>
      <c r="C110" s="8" t="s">
        <v>228</v>
      </c>
      <c r="D110" s="8">
        <v>1.4</v>
      </c>
      <c r="E110" s="8">
        <v>1.2</v>
      </c>
      <c r="F110" s="8">
        <v>1.62</v>
      </c>
      <c r="G110" s="8">
        <v>0.1072</v>
      </c>
    </row>
    <row r="111" spans="1:7" x14ac:dyDescent="0.2">
      <c r="A111" s="8" t="s">
        <v>268</v>
      </c>
      <c r="B111" t="s">
        <v>1186</v>
      </c>
      <c r="C111" s="8" t="s">
        <v>235</v>
      </c>
      <c r="D111" s="8">
        <v>1.27</v>
      </c>
      <c r="E111" s="8">
        <v>0.96</v>
      </c>
      <c r="F111" s="8">
        <v>1.68</v>
      </c>
      <c r="G111" s="8">
        <v>0.18129999999999999</v>
      </c>
    </row>
    <row r="112" spans="1:7" x14ac:dyDescent="0.2">
      <c r="A112" s="8" t="s">
        <v>268</v>
      </c>
      <c r="B112" t="s">
        <v>1186</v>
      </c>
      <c r="C112" s="8" t="s">
        <v>236</v>
      </c>
      <c r="D112" s="8">
        <v>1.35</v>
      </c>
      <c r="E112" s="8">
        <v>0.97</v>
      </c>
      <c r="F112" s="8">
        <v>1.87</v>
      </c>
      <c r="G112" s="8">
        <v>0.2261</v>
      </c>
    </row>
    <row r="113" spans="1:7" x14ac:dyDescent="0.2">
      <c r="A113" s="8" t="s">
        <v>268</v>
      </c>
      <c r="B113" t="s">
        <v>1186</v>
      </c>
      <c r="C113" s="8" t="s">
        <v>237</v>
      </c>
      <c r="D113" s="8">
        <v>1.54</v>
      </c>
      <c r="E113" s="8">
        <v>1.17</v>
      </c>
      <c r="F113" s="8">
        <v>2.0299999999999998</v>
      </c>
      <c r="G113" s="8">
        <v>0.2165</v>
      </c>
    </row>
    <row r="114" spans="1:7" x14ac:dyDescent="0.2">
      <c r="A114" s="8" t="s">
        <v>268</v>
      </c>
      <c r="B114" t="s">
        <v>1186</v>
      </c>
      <c r="C114" s="8" t="s">
        <v>238</v>
      </c>
      <c r="D114" s="8">
        <v>1.1599999999999999</v>
      </c>
      <c r="E114" s="8">
        <v>0.8</v>
      </c>
      <c r="F114" s="8">
        <v>1.67</v>
      </c>
      <c r="G114" s="8">
        <v>0.21779999999999999</v>
      </c>
    </row>
    <row r="115" spans="1:7" x14ac:dyDescent="0.2">
      <c r="A115" s="8" t="s">
        <v>268</v>
      </c>
      <c r="B115" t="s">
        <v>1186</v>
      </c>
      <c r="C115" s="8" t="s">
        <v>239</v>
      </c>
      <c r="D115" s="8">
        <v>2.0099999999999998</v>
      </c>
      <c r="E115" s="8">
        <v>1.18</v>
      </c>
      <c r="F115" s="8">
        <v>3.45</v>
      </c>
      <c r="G115" s="8">
        <v>0.55010000000000003</v>
      </c>
    </row>
    <row r="116" spans="1:7" x14ac:dyDescent="0.2">
      <c r="A116" s="8" t="s">
        <v>269</v>
      </c>
      <c r="B116" t="s">
        <v>1186</v>
      </c>
      <c r="C116" s="8" t="s">
        <v>228</v>
      </c>
      <c r="D116" s="8">
        <v>1.1399999999999999</v>
      </c>
      <c r="E116" s="8">
        <v>0.98</v>
      </c>
      <c r="F116" s="8">
        <v>1.32</v>
      </c>
      <c r="G116" s="8">
        <v>8.6599999999999996E-2</v>
      </c>
    </row>
    <row r="117" spans="1:7" x14ac:dyDescent="0.2">
      <c r="A117" s="8" t="s">
        <v>269</v>
      </c>
      <c r="B117" t="s">
        <v>1186</v>
      </c>
      <c r="C117" s="8" t="s">
        <v>235</v>
      </c>
      <c r="D117" s="8">
        <v>1.17</v>
      </c>
      <c r="E117" s="8">
        <v>0.88</v>
      </c>
      <c r="F117" s="8">
        <v>1.55</v>
      </c>
      <c r="G117" s="8">
        <v>0.16900000000000001</v>
      </c>
    </row>
    <row r="118" spans="1:7" x14ac:dyDescent="0.2">
      <c r="A118" s="8" t="s">
        <v>269</v>
      </c>
      <c r="B118" t="s">
        <v>1186</v>
      </c>
      <c r="C118" s="8" t="s">
        <v>236</v>
      </c>
      <c r="D118" s="8">
        <v>0.9</v>
      </c>
      <c r="E118" s="8">
        <v>0.65</v>
      </c>
      <c r="F118" s="8">
        <v>1.24</v>
      </c>
      <c r="G118" s="8">
        <v>0.14829999999999999</v>
      </c>
    </row>
    <row r="119" spans="1:7" x14ac:dyDescent="0.2">
      <c r="A119" s="8" t="s">
        <v>269</v>
      </c>
      <c r="B119" t="s">
        <v>1186</v>
      </c>
      <c r="C119" s="8" t="s">
        <v>237</v>
      </c>
      <c r="D119" s="8">
        <v>1.24</v>
      </c>
      <c r="E119" s="8">
        <v>0.99</v>
      </c>
      <c r="F119" s="8">
        <v>1.64</v>
      </c>
      <c r="G119" s="8">
        <v>0.15970000000000001</v>
      </c>
    </row>
    <row r="120" spans="1:7" x14ac:dyDescent="0.2">
      <c r="A120" s="8" t="s">
        <v>269</v>
      </c>
      <c r="B120" t="s">
        <v>1186</v>
      </c>
      <c r="C120" s="8" t="s">
        <v>238</v>
      </c>
      <c r="D120" s="8">
        <v>1.18</v>
      </c>
      <c r="E120" s="8">
        <v>0.8</v>
      </c>
      <c r="F120" s="8">
        <v>1.75</v>
      </c>
      <c r="G120" s="8">
        <v>0.2356</v>
      </c>
    </row>
    <row r="121" spans="1:7" x14ac:dyDescent="0.2">
      <c r="A121" s="8" t="s">
        <v>269</v>
      </c>
      <c r="B121" t="s">
        <v>1186</v>
      </c>
      <c r="C121" s="8" t="s">
        <v>239</v>
      </c>
      <c r="D121" s="8">
        <v>1.21</v>
      </c>
      <c r="E121" s="8">
        <v>0.69</v>
      </c>
      <c r="F121" s="8">
        <v>2.13</v>
      </c>
      <c r="G121" s="8">
        <v>0.34789999999999999</v>
      </c>
    </row>
    <row r="122" spans="1:7" x14ac:dyDescent="0.2">
      <c r="A122" s="8" t="s">
        <v>270</v>
      </c>
      <c r="B122" t="s">
        <v>1186</v>
      </c>
      <c r="C122" s="8" t="s">
        <v>228</v>
      </c>
      <c r="D122" s="8">
        <v>0.78</v>
      </c>
      <c r="E122" s="8">
        <v>0.6</v>
      </c>
      <c r="F122" s="8">
        <v>1</v>
      </c>
      <c r="G122" s="8">
        <v>0.1016</v>
      </c>
    </row>
    <row r="123" spans="1:7" x14ac:dyDescent="0.2">
      <c r="A123" s="8" t="s">
        <v>270</v>
      </c>
      <c r="B123" t="s">
        <v>1186</v>
      </c>
      <c r="C123" s="8" t="s">
        <v>235</v>
      </c>
      <c r="D123" s="8">
        <v>0.67</v>
      </c>
      <c r="E123" s="8">
        <v>0.41</v>
      </c>
      <c r="F123" s="8">
        <v>1.1100000000000001</v>
      </c>
      <c r="G123" s="8">
        <v>0.17019999999999999</v>
      </c>
    </row>
    <row r="124" spans="1:7" x14ac:dyDescent="0.2">
      <c r="A124" s="8" t="s">
        <v>270</v>
      </c>
      <c r="B124" t="s">
        <v>1186</v>
      </c>
      <c r="C124" s="8" t="s">
        <v>236</v>
      </c>
      <c r="D124" s="8">
        <v>1.28</v>
      </c>
      <c r="E124" s="8">
        <v>0.8</v>
      </c>
      <c r="F124" s="8">
        <v>2.02</v>
      </c>
      <c r="G124" s="8">
        <v>0.3024</v>
      </c>
    </row>
    <row r="125" spans="1:7" x14ac:dyDescent="0.2">
      <c r="A125" s="8" t="s">
        <v>270</v>
      </c>
      <c r="B125" t="s">
        <v>1186</v>
      </c>
      <c r="C125" s="8" t="s">
        <v>237</v>
      </c>
      <c r="D125" s="8">
        <v>0.62</v>
      </c>
      <c r="E125" s="8">
        <v>0.38</v>
      </c>
      <c r="F125" s="8">
        <v>1</v>
      </c>
      <c r="G125" s="8">
        <v>0.153</v>
      </c>
    </row>
    <row r="126" spans="1:7" x14ac:dyDescent="0.2">
      <c r="A126" s="8" t="s">
        <v>270</v>
      </c>
      <c r="B126" t="s">
        <v>1186</v>
      </c>
      <c r="C126" s="8" t="s">
        <v>238</v>
      </c>
      <c r="D126" s="8">
        <v>0.59</v>
      </c>
      <c r="E126" s="8">
        <v>0.28000000000000003</v>
      </c>
      <c r="F126" s="8">
        <v>1.28</v>
      </c>
      <c r="G126" s="8">
        <v>0.22869999999999999</v>
      </c>
    </row>
    <row r="127" spans="1:7" x14ac:dyDescent="0.2">
      <c r="A127" s="8" t="s">
        <v>270</v>
      </c>
      <c r="B127" t="s">
        <v>1186</v>
      </c>
      <c r="C127" s="8" t="s">
        <v>239</v>
      </c>
      <c r="D127" s="8">
        <v>1.26</v>
      </c>
      <c r="E127" s="8">
        <v>0.3</v>
      </c>
      <c r="F127" s="8">
        <v>5.25</v>
      </c>
      <c r="G127" s="8">
        <v>0.92</v>
      </c>
    </row>
    <row r="128" spans="1:7" x14ac:dyDescent="0.2">
      <c r="A128" s="8" t="s">
        <v>271</v>
      </c>
      <c r="B128" t="s">
        <v>1186</v>
      </c>
      <c r="C128" s="8" t="s">
        <v>228</v>
      </c>
      <c r="D128" s="8">
        <v>1.1000000000000001</v>
      </c>
      <c r="E128" s="8">
        <v>0.97</v>
      </c>
      <c r="F128" s="8">
        <v>1.25</v>
      </c>
      <c r="G128" s="8">
        <v>7.1199999999999999E-2</v>
      </c>
    </row>
    <row r="129" spans="1:7" x14ac:dyDescent="0.2">
      <c r="A129" s="8" t="s">
        <v>271</v>
      </c>
      <c r="B129" t="s">
        <v>1186</v>
      </c>
      <c r="C129" s="8" t="s">
        <v>235</v>
      </c>
      <c r="D129" s="8">
        <v>1.02</v>
      </c>
      <c r="E129" s="8">
        <v>0.8</v>
      </c>
      <c r="F129" s="8">
        <v>1.29</v>
      </c>
      <c r="G129" s="8">
        <v>0.12429999999999999</v>
      </c>
    </row>
    <row r="130" spans="1:7" x14ac:dyDescent="0.2">
      <c r="A130" s="8" t="s">
        <v>271</v>
      </c>
      <c r="B130" t="s">
        <v>1186</v>
      </c>
      <c r="C130" s="8" t="s">
        <v>236</v>
      </c>
      <c r="D130" s="8">
        <v>1.1100000000000001</v>
      </c>
      <c r="E130" s="8">
        <v>0.84</v>
      </c>
      <c r="F130" s="8">
        <v>1.47</v>
      </c>
      <c r="G130" s="8">
        <v>0.1585</v>
      </c>
    </row>
    <row r="131" spans="1:7" x14ac:dyDescent="0.2">
      <c r="A131" s="8" t="s">
        <v>271</v>
      </c>
      <c r="B131" t="s">
        <v>1186</v>
      </c>
      <c r="C131" s="8" t="s">
        <v>237</v>
      </c>
      <c r="D131" s="8">
        <v>1.22</v>
      </c>
      <c r="E131" s="8">
        <v>0.96</v>
      </c>
      <c r="F131" s="8">
        <v>1.54</v>
      </c>
      <c r="G131" s="8">
        <v>0.14710000000000001</v>
      </c>
    </row>
    <row r="132" spans="1:7" x14ac:dyDescent="0.2">
      <c r="A132" s="8" t="s">
        <v>271</v>
      </c>
      <c r="B132" t="s">
        <v>1186</v>
      </c>
      <c r="C132" s="8" t="s">
        <v>238</v>
      </c>
      <c r="D132" s="8">
        <v>1</v>
      </c>
      <c r="E132" s="8">
        <v>0.72</v>
      </c>
      <c r="F132" s="8">
        <v>1.39</v>
      </c>
      <c r="G132" s="8">
        <v>0.1678</v>
      </c>
    </row>
    <row r="133" spans="1:7" x14ac:dyDescent="0.2">
      <c r="A133" s="8" t="s">
        <v>271</v>
      </c>
      <c r="B133" t="s">
        <v>1186</v>
      </c>
      <c r="C133" s="8" t="s">
        <v>239</v>
      </c>
      <c r="D133" s="8">
        <v>1.3</v>
      </c>
      <c r="E133" s="8">
        <v>0.81</v>
      </c>
      <c r="F133" s="8">
        <v>2.08</v>
      </c>
      <c r="G133" s="8">
        <v>0.31280000000000002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6716-915A-4A4C-9134-FBD99F209E99}">
  <dimension ref="A1:F59"/>
  <sheetViews>
    <sheetView topLeftCell="A20" workbookViewId="0">
      <selection activeCell="A11" sqref="A11"/>
    </sheetView>
  </sheetViews>
  <sheetFormatPr defaultRowHeight="14.25" x14ac:dyDescent="0.2"/>
  <cols>
    <col min="1" max="1" width="46.375" customWidth="1"/>
    <col min="2" max="2" width="33.125" customWidth="1"/>
    <col min="5" max="5" width="11.875" customWidth="1"/>
  </cols>
  <sheetData>
    <row r="1" spans="1:6" x14ac:dyDescent="0.2">
      <c r="A1" s="11" t="s">
        <v>3</v>
      </c>
      <c r="B1" s="11"/>
      <c r="C1" s="11" t="s">
        <v>12</v>
      </c>
      <c r="D1" s="11" t="s">
        <v>687</v>
      </c>
      <c r="E1" s="11" t="s">
        <v>260</v>
      </c>
      <c r="F1" s="11" t="s">
        <v>686</v>
      </c>
    </row>
    <row r="2" spans="1:6" x14ac:dyDescent="0.2">
      <c r="A2" t="s">
        <v>734</v>
      </c>
      <c r="B2" t="s">
        <v>1186</v>
      </c>
      <c r="C2">
        <v>0.56999999999999995</v>
      </c>
      <c r="D2" s="9" t="s">
        <v>725</v>
      </c>
      <c r="E2" s="20">
        <v>0.134842888723118</v>
      </c>
      <c r="F2">
        <v>0.02</v>
      </c>
    </row>
    <row r="3" spans="1:6" x14ac:dyDescent="0.2">
      <c r="A3" s="11" t="s">
        <v>726</v>
      </c>
      <c r="B3" t="s">
        <v>1172</v>
      </c>
      <c r="C3">
        <v>1.56</v>
      </c>
      <c r="D3" s="9" t="s">
        <v>727</v>
      </c>
      <c r="E3" s="20">
        <v>0.39449715879879438</v>
      </c>
      <c r="F3">
        <v>0.08</v>
      </c>
    </row>
    <row r="4" spans="1:6" x14ac:dyDescent="0.2">
      <c r="A4" s="11" t="s">
        <v>728</v>
      </c>
      <c r="B4" t="s">
        <v>1171</v>
      </c>
      <c r="C4">
        <v>0.99</v>
      </c>
      <c r="D4" s="9" t="s">
        <v>729</v>
      </c>
      <c r="E4" s="20">
        <v>8.6709182074272084E-2</v>
      </c>
      <c r="F4">
        <v>0.87</v>
      </c>
    </row>
    <row r="5" spans="1:6" x14ac:dyDescent="0.2">
      <c r="A5" s="11" t="s">
        <v>730</v>
      </c>
      <c r="B5" t="s">
        <v>1191</v>
      </c>
      <c r="C5">
        <v>1.03</v>
      </c>
      <c r="D5" s="9" t="s">
        <v>731</v>
      </c>
      <c r="E5" s="20">
        <v>8.667829075265869E-2</v>
      </c>
      <c r="F5">
        <v>0.76</v>
      </c>
    </row>
    <row r="6" spans="1:6" x14ac:dyDescent="0.2">
      <c r="A6" s="11" t="s">
        <v>732</v>
      </c>
      <c r="B6" t="s">
        <v>1185</v>
      </c>
      <c r="C6">
        <v>0.93</v>
      </c>
      <c r="D6" s="2" t="s">
        <v>733</v>
      </c>
      <c r="E6" s="20">
        <v>4.0917452073055367E-2</v>
      </c>
      <c r="F6">
        <v>0.1</v>
      </c>
    </row>
    <row r="7" spans="1:6" x14ac:dyDescent="0.2">
      <c r="A7" t="s">
        <v>819</v>
      </c>
      <c r="B7" t="s">
        <v>1191</v>
      </c>
      <c r="C7">
        <v>0.99</v>
      </c>
      <c r="D7" t="s">
        <v>735</v>
      </c>
      <c r="E7">
        <v>4.8399999999999999E-2</v>
      </c>
    </row>
    <row r="8" spans="1:6" x14ac:dyDescent="0.2">
      <c r="A8" t="s">
        <v>736</v>
      </c>
      <c r="B8" t="s">
        <v>1185</v>
      </c>
      <c r="C8">
        <v>0.94</v>
      </c>
      <c r="D8" t="s">
        <v>737</v>
      </c>
      <c r="E8">
        <v>5.8700000000000002E-2</v>
      </c>
    </row>
    <row r="9" spans="1:6" x14ac:dyDescent="0.2">
      <c r="A9" t="s">
        <v>738</v>
      </c>
      <c r="B9" t="s">
        <v>1172</v>
      </c>
      <c r="C9">
        <v>1.34</v>
      </c>
      <c r="D9" t="s">
        <v>739</v>
      </c>
      <c r="E9">
        <v>0.45739999999999997</v>
      </c>
    </row>
    <row r="10" spans="1:6" x14ac:dyDescent="0.2">
      <c r="A10" t="s">
        <v>823</v>
      </c>
      <c r="B10" t="s">
        <v>1175</v>
      </c>
      <c r="C10">
        <v>1.0900000000000001</v>
      </c>
      <c r="D10" t="s">
        <v>740</v>
      </c>
      <c r="E10">
        <v>0.13150000000000001</v>
      </c>
    </row>
    <row r="11" spans="1:6" x14ac:dyDescent="0.2">
      <c r="A11" t="s">
        <v>741</v>
      </c>
      <c r="B11" t="s">
        <v>1175</v>
      </c>
      <c r="C11">
        <v>1.03</v>
      </c>
      <c r="D11" t="s">
        <v>742</v>
      </c>
      <c r="E11">
        <v>0.2432</v>
      </c>
    </row>
    <row r="12" spans="1:6" x14ac:dyDescent="0.2">
      <c r="A12" t="s">
        <v>743</v>
      </c>
      <c r="B12" t="s">
        <v>1175</v>
      </c>
      <c r="C12">
        <v>0.96</v>
      </c>
      <c r="D12" t="s">
        <v>744</v>
      </c>
      <c r="E12">
        <v>0.12640000000000001</v>
      </c>
    </row>
    <row r="13" spans="1:6" x14ac:dyDescent="0.2">
      <c r="A13" t="s">
        <v>745</v>
      </c>
      <c r="B13" t="s">
        <v>1175</v>
      </c>
      <c r="C13">
        <v>1.1100000000000001</v>
      </c>
      <c r="D13" t="s">
        <v>746</v>
      </c>
      <c r="E13">
        <v>0.16189999999999999</v>
      </c>
    </row>
    <row r="14" spans="1:6" x14ac:dyDescent="0.2">
      <c r="A14" t="s">
        <v>747</v>
      </c>
      <c r="B14" t="s">
        <v>1178</v>
      </c>
      <c r="C14">
        <v>0.76</v>
      </c>
      <c r="D14" t="s">
        <v>748</v>
      </c>
      <c r="E14">
        <v>0.55610000000000004</v>
      </c>
    </row>
    <row r="15" spans="1:6" x14ac:dyDescent="0.2">
      <c r="A15" t="s">
        <v>749</v>
      </c>
      <c r="B15" t="s">
        <v>1181</v>
      </c>
      <c r="C15">
        <v>1.64</v>
      </c>
      <c r="D15" t="s">
        <v>750</v>
      </c>
      <c r="E15">
        <v>0.2341</v>
      </c>
      <c r="F15" t="s">
        <v>67</v>
      </c>
    </row>
    <row r="16" spans="1:6" x14ac:dyDescent="0.2">
      <c r="A16" t="s">
        <v>751</v>
      </c>
      <c r="B16" t="s">
        <v>1181</v>
      </c>
      <c r="C16">
        <v>1.95</v>
      </c>
      <c r="D16" t="s">
        <v>752</v>
      </c>
      <c r="E16">
        <v>0.33579999999999999</v>
      </c>
      <c r="F16" t="s">
        <v>67</v>
      </c>
    </row>
    <row r="17" spans="1:6" x14ac:dyDescent="0.2">
      <c r="A17" t="s">
        <v>753</v>
      </c>
      <c r="B17" t="s">
        <v>1186</v>
      </c>
      <c r="C17">
        <v>1</v>
      </c>
      <c r="D17" t="s">
        <v>754</v>
      </c>
      <c r="E17">
        <v>2.29E-2</v>
      </c>
    </row>
    <row r="18" spans="1:6" x14ac:dyDescent="0.2">
      <c r="A18" t="s">
        <v>755</v>
      </c>
      <c r="B18" t="s">
        <v>1175</v>
      </c>
      <c r="C18">
        <v>0.95</v>
      </c>
      <c r="D18" t="s">
        <v>756</v>
      </c>
      <c r="E18">
        <v>0.14630000000000001</v>
      </c>
    </row>
    <row r="19" spans="1:6" x14ac:dyDescent="0.2">
      <c r="A19" t="s">
        <v>757</v>
      </c>
      <c r="B19" t="s">
        <v>1175</v>
      </c>
      <c r="C19">
        <v>1.63</v>
      </c>
      <c r="D19" t="s">
        <v>758</v>
      </c>
      <c r="E19">
        <v>0.59950000000000003</v>
      </c>
    </row>
    <row r="20" spans="1:6" x14ac:dyDescent="0.2">
      <c r="A20" t="s">
        <v>759</v>
      </c>
      <c r="B20" t="s">
        <v>223</v>
      </c>
      <c r="C20">
        <v>0.56000000000000005</v>
      </c>
      <c r="D20" t="s">
        <v>760</v>
      </c>
      <c r="E20">
        <v>0.30349999999999999</v>
      </c>
    </row>
    <row r="21" spans="1:6" x14ac:dyDescent="0.2">
      <c r="A21" t="s">
        <v>761</v>
      </c>
      <c r="C21">
        <v>0.85</v>
      </c>
      <c r="D21" t="s">
        <v>762</v>
      </c>
      <c r="E21">
        <v>0.28920000000000001</v>
      </c>
    </row>
    <row r="22" spans="1:6" x14ac:dyDescent="0.2">
      <c r="A22" t="s">
        <v>817</v>
      </c>
      <c r="B22" t="s">
        <v>1191</v>
      </c>
      <c r="C22">
        <v>1.02</v>
      </c>
      <c r="D22" t="s">
        <v>763</v>
      </c>
      <c r="E22">
        <v>5.3499999999999999E-2</v>
      </c>
    </row>
    <row r="23" spans="1:6" x14ac:dyDescent="0.2">
      <c r="A23" t="s">
        <v>764</v>
      </c>
      <c r="B23" t="s">
        <v>1185</v>
      </c>
      <c r="C23">
        <v>0.89</v>
      </c>
      <c r="D23" t="s">
        <v>765</v>
      </c>
      <c r="E23">
        <v>5.6399999999999999E-2</v>
      </c>
      <c r="F23" t="s">
        <v>820</v>
      </c>
    </row>
    <row r="24" spans="1:6" x14ac:dyDescent="0.2">
      <c r="A24" t="s">
        <v>766</v>
      </c>
      <c r="B24" t="s">
        <v>1172</v>
      </c>
      <c r="C24">
        <v>1.7</v>
      </c>
      <c r="D24" t="s">
        <v>767</v>
      </c>
      <c r="E24">
        <v>0.57450000000000001</v>
      </c>
    </row>
    <row r="25" spans="1:6" x14ac:dyDescent="0.2">
      <c r="A25" t="s">
        <v>768</v>
      </c>
      <c r="B25" t="s">
        <v>1175</v>
      </c>
      <c r="C25">
        <v>1</v>
      </c>
      <c r="D25" t="s">
        <v>769</v>
      </c>
      <c r="E25">
        <v>9.4E-2</v>
      </c>
    </row>
    <row r="26" spans="1:6" x14ac:dyDescent="0.2">
      <c r="A26" t="s">
        <v>770</v>
      </c>
      <c r="B26" t="s">
        <v>1175</v>
      </c>
      <c r="C26">
        <v>0.97</v>
      </c>
      <c r="D26" t="s">
        <v>771</v>
      </c>
      <c r="E26">
        <v>0.16250000000000001</v>
      </c>
    </row>
    <row r="27" spans="1:6" x14ac:dyDescent="0.2">
      <c r="A27" t="s">
        <v>772</v>
      </c>
      <c r="B27" t="s">
        <v>1175</v>
      </c>
      <c r="C27">
        <v>1.1000000000000001</v>
      </c>
      <c r="D27" t="s">
        <v>773</v>
      </c>
      <c r="E27">
        <v>0.14199999999999999</v>
      </c>
    </row>
    <row r="28" spans="1:6" x14ac:dyDescent="0.2">
      <c r="A28" t="s">
        <v>774</v>
      </c>
      <c r="B28" t="s">
        <v>1175</v>
      </c>
      <c r="C28">
        <v>0.94</v>
      </c>
      <c r="D28" t="s">
        <v>756</v>
      </c>
      <c r="E28">
        <v>0.1447</v>
      </c>
    </row>
    <row r="29" spans="1:6" x14ac:dyDescent="0.2">
      <c r="A29" t="s">
        <v>775</v>
      </c>
      <c r="B29" t="s">
        <v>1175</v>
      </c>
      <c r="C29">
        <v>2.69</v>
      </c>
      <c r="D29" t="s">
        <v>776</v>
      </c>
      <c r="E29">
        <v>1.1365000000000001</v>
      </c>
      <c r="F29" t="s">
        <v>820</v>
      </c>
    </row>
    <row r="30" spans="1:6" x14ac:dyDescent="0.2">
      <c r="A30" t="s">
        <v>777</v>
      </c>
      <c r="B30" t="s">
        <v>1181</v>
      </c>
      <c r="C30">
        <v>1.32</v>
      </c>
      <c r="D30" t="s">
        <v>778</v>
      </c>
      <c r="E30">
        <v>0.26579999999999998</v>
      </c>
    </row>
    <row r="31" spans="1:6" x14ac:dyDescent="0.2">
      <c r="A31" t="s">
        <v>779</v>
      </c>
      <c r="B31" t="s">
        <v>1181</v>
      </c>
      <c r="C31">
        <v>1.5</v>
      </c>
      <c r="D31" t="s">
        <v>780</v>
      </c>
      <c r="E31">
        <v>0.34089999999999998</v>
      </c>
    </row>
    <row r="32" spans="1:6" x14ac:dyDescent="0.2">
      <c r="A32" t="s">
        <v>821</v>
      </c>
      <c r="B32" t="s">
        <v>1186</v>
      </c>
      <c r="C32">
        <v>1.03</v>
      </c>
      <c r="D32" t="s">
        <v>781</v>
      </c>
      <c r="E32">
        <v>2.5499999999999998E-2</v>
      </c>
    </row>
    <row r="33" spans="1:6" x14ac:dyDescent="0.2">
      <c r="A33" t="s">
        <v>782</v>
      </c>
      <c r="B33" t="s">
        <v>1175</v>
      </c>
      <c r="C33">
        <v>1.34</v>
      </c>
      <c r="D33" t="s">
        <v>783</v>
      </c>
      <c r="E33">
        <v>0.1812</v>
      </c>
    </row>
    <row r="34" spans="1:6" x14ac:dyDescent="0.2">
      <c r="A34" t="s">
        <v>829</v>
      </c>
      <c r="B34" t="s">
        <v>1186</v>
      </c>
      <c r="C34">
        <v>2.5499999999999998</v>
      </c>
      <c r="D34" t="s">
        <v>784</v>
      </c>
      <c r="E34">
        <v>0.85850000000000004</v>
      </c>
      <c r="F34" t="s">
        <v>65</v>
      </c>
    </row>
    <row r="35" spans="1:6" x14ac:dyDescent="0.2">
      <c r="A35" t="s">
        <v>785</v>
      </c>
      <c r="B35" t="s">
        <v>223</v>
      </c>
      <c r="C35">
        <v>0.89</v>
      </c>
      <c r="D35" t="s">
        <v>786</v>
      </c>
      <c r="E35">
        <v>0.52280000000000004</v>
      </c>
    </row>
    <row r="36" spans="1:6" x14ac:dyDescent="0.2">
      <c r="A36" t="s">
        <v>787</v>
      </c>
      <c r="C36">
        <v>1.1000000000000001</v>
      </c>
      <c r="D36" t="s">
        <v>788</v>
      </c>
      <c r="E36">
        <v>0.25230000000000002</v>
      </c>
    </row>
    <row r="37" spans="1:6" x14ac:dyDescent="0.2">
      <c r="A37" t="s">
        <v>818</v>
      </c>
      <c r="B37" t="s">
        <v>1191</v>
      </c>
      <c r="C37">
        <v>1.01</v>
      </c>
      <c r="D37" t="s">
        <v>789</v>
      </c>
      <c r="E37">
        <v>3.5799999999999998E-2</v>
      </c>
    </row>
    <row r="38" spans="1:6" x14ac:dyDescent="0.2">
      <c r="A38" t="s">
        <v>790</v>
      </c>
      <c r="B38" t="s">
        <v>1185</v>
      </c>
      <c r="C38">
        <v>0.91</v>
      </c>
      <c r="D38" t="s">
        <v>791</v>
      </c>
      <c r="E38">
        <v>3.8100000000000002E-2</v>
      </c>
      <c r="F38" t="s">
        <v>820</v>
      </c>
    </row>
    <row r="39" spans="1:6" x14ac:dyDescent="0.2">
      <c r="A39" t="s">
        <v>792</v>
      </c>
      <c r="B39" t="s">
        <v>1172</v>
      </c>
      <c r="C39">
        <v>1.52</v>
      </c>
      <c r="D39" t="s">
        <v>793</v>
      </c>
      <c r="E39">
        <v>0.37459999999999999</v>
      </c>
    </row>
    <row r="40" spans="1:6" x14ac:dyDescent="0.2">
      <c r="A40" t="s">
        <v>794</v>
      </c>
      <c r="B40" t="s">
        <v>1175</v>
      </c>
      <c r="C40">
        <v>1.04</v>
      </c>
      <c r="D40" t="s">
        <v>795</v>
      </c>
      <c r="E40">
        <v>8.1500000000000003E-2</v>
      </c>
    </row>
    <row r="41" spans="1:6" x14ac:dyDescent="0.2">
      <c r="A41" t="s">
        <v>796</v>
      </c>
      <c r="B41" t="s">
        <v>1175</v>
      </c>
      <c r="C41">
        <v>1</v>
      </c>
      <c r="D41" t="s">
        <v>797</v>
      </c>
      <c r="E41">
        <v>0.1389</v>
      </c>
    </row>
    <row r="42" spans="1:6" x14ac:dyDescent="0.2">
      <c r="A42" t="s">
        <v>825</v>
      </c>
      <c r="B42" t="s">
        <v>1175</v>
      </c>
      <c r="C42">
        <v>1.03</v>
      </c>
      <c r="D42" t="s">
        <v>798</v>
      </c>
      <c r="E42">
        <v>9.4E-2</v>
      </c>
    </row>
    <row r="43" spans="1:6" x14ac:dyDescent="0.2">
      <c r="A43" t="s">
        <v>799</v>
      </c>
      <c r="B43" t="s">
        <v>1175</v>
      </c>
      <c r="C43">
        <v>1.02</v>
      </c>
      <c r="D43" t="s">
        <v>800</v>
      </c>
      <c r="E43">
        <v>0.1086</v>
      </c>
    </row>
    <row r="44" spans="1:6" x14ac:dyDescent="0.2">
      <c r="A44" t="s">
        <v>801</v>
      </c>
      <c r="B44" t="s">
        <v>1175</v>
      </c>
      <c r="C44">
        <v>1.72</v>
      </c>
      <c r="D44" t="s">
        <v>802</v>
      </c>
      <c r="E44">
        <v>0.61470000000000002</v>
      </c>
    </row>
    <row r="45" spans="1:6" x14ac:dyDescent="0.2">
      <c r="A45" t="s">
        <v>803</v>
      </c>
      <c r="B45" t="s">
        <v>1181</v>
      </c>
      <c r="C45">
        <v>1.48</v>
      </c>
      <c r="D45" t="s">
        <v>804</v>
      </c>
      <c r="E45">
        <v>0.17180000000000001</v>
      </c>
      <c r="F45" t="s">
        <v>67</v>
      </c>
    </row>
    <row r="46" spans="1:6" x14ac:dyDescent="0.2">
      <c r="A46" t="s">
        <v>805</v>
      </c>
      <c r="B46" t="s">
        <v>1181</v>
      </c>
      <c r="C46">
        <v>1.72</v>
      </c>
      <c r="D46" t="s">
        <v>806</v>
      </c>
      <c r="E46">
        <v>0.33350000000000002</v>
      </c>
    </row>
    <row r="47" spans="1:6" x14ac:dyDescent="0.2">
      <c r="A47" t="s">
        <v>807</v>
      </c>
      <c r="B47" t="s">
        <v>1186</v>
      </c>
      <c r="C47">
        <v>1.02</v>
      </c>
      <c r="D47" t="s">
        <v>808</v>
      </c>
      <c r="E47">
        <v>1.7999999999999999E-2</v>
      </c>
    </row>
    <row r="48" spans="1:6" x14ac:dyDescent="0.2">
      <c r="A48" t="s">
        <v>809</v>
      </c>
      <c r="B48" t="s">
        <v>1175</v>
      </c>
      <c r="C48">
        <v>1.17</v>
      </c>
      <c r="D48" t="s">
        <v>810</v>
      </c>
      <c r="E48">
        <v>0.1221</v>
      </c>
    </row>
    <row r="49" spans="1:6" x14ac:dyDescent="0.2">
      <c r="A49" t="s">
        <v>811</v>
      </c>
      <c r="B49" t="s">
        <v>1186</v>
      </c>
      <c r="C49">
        <v>2.11</v>
      </c>
      <c r="D49" t="s">
        <v>812</v>
      </c>
      <c r="E49">
        <v>0.51339999999999997</v>
      </c>
      <c r="F49" t="s">
        <v>65</v>
      </c>
    </row>
    <row r="50" spans="1:6" x14ac:dyDescent="0.2">
      <c r="A50" t="s">
        <v>813</v>
      </c>
      <c r="B50" t="s">
        <v>223</v>
      </c>
      <c r="C50">
        <v>0.7</v>
      </c>
      <c r="D50" t="s">
        <v>814</v>
      </c>
      <c r="E50">
        <v>0.27939999999999998</v>
      </c>
    </row>
    <row r="51" spans="1:6" x14ac:dyDescent="0.2">
      <c r="A51" t="s">
        <v>815</v>
      </c>
      <c r="C51">
        <v>0.98</v>
      </c>
      <c r="D51" t="s">
        <v>816</v>
      </c>
      <c r="E51">
        <v>0.193</v>
      </c>
    </row>
    <row r="52" spans="1:6" x14ac:dyDescent="0.2">
      <c r="A52" t="s">
        <v>822</v>
      </c>
      <c r="B52" t="s">
        <v>1175</v>
      </c>
      <c r="C52">
        <v>2.76</v>
      </c>
      <c r="D52" t="s">
        <v>833</v>
      </c>
      <c r="E52" s="21">
        <v>1.1708727436325201</v>
      </c>
      <c r="F52">
        <v>0.02</v>
      </c>
    </row>
    <row r="53" spans="1:6" x14ac:dyDescent="0.2">
      <c r="A53" t="s">
        <v>824</v>
      </c>
      <c r="B53" t="s">
        <v>1181</v>
      </c>
      <c r="C53">
        <v>1.47</v>
      </c>
      <c r="D53" t="s">
        <v>834</v>
      </c>
      <c r="E53" s="21">
        <v>0.21661286003928784</v>
      </c>
      <c r="F53">
        <v>8.9999999999999993E-3</v>
      </c>
    </row>
    <row r="54" spans="1:6" x14ac:dyDescent="0.2">
      <c r="A54" t="s">
        <v>826</v>
      </c>
      <c r="B54" t="s">
        <v>1181</v>
      </c>
      <c r="C54">
        <v>1.39</v>
      </c>
      <c r="D54" t="s">
        <v>835</v>
      </c>
      <c r="E54" s="21">
        <v>0.16911338270549228</v>
      </c>
      <c r="F54">
        <v>8.9999999999999993E-3</v>
      </c>
    </row>
    <row r="55" spans="1:6" x14ac:dyDescent="0.2">
      <c r="A55" t="s">
        <v>827</v>
      </c>
      <c r="B55" t="s">
        <v>1181</v>
      </c>
      <c r="C55">
        <v>1.77</v>
      </c>
      <c r="D55" t="s">
        <v>836</v>
      </c>
      <c r="E55" s="21">
        <v>0.33288755758993627</v>
      </c>
      <c r="F55">
        <v>2E-3</v>
      </c>
    </row>
    <row r="56" spans="1:6" x14ac:dyDescent="0.2">
      <c r="A56" t="s">
        <v>828</v>
      </c>
      <c r="B56" t="s">
        <v>1181</v>
      </c>
      <c r="C56">
        <v>1.58</v>
      </c>
      <c r="D56" t="s">
        <v>837</v>
      </c>
      <c r="E56" s="21">
        <v>0.24336920580460991</v>
      </c>
      <c r="F56">
        <v>3.0000000000000001E-3</v>
      </c>
    </row>
    <row r="57" spans="1:6" x14ac:dyDescent="0.2">
      <c r="A57" t="s">
        <v>830</v>
      </c>
      <c r="B57" t="s">
        <v>1175</v>
      </c>
      <c r="C57">
        <v>1.32</v>
      </c>
      <c r="D57" t="s">
        <v>838</v>
      </c>
      <c r="E57" s="21">
        <v>0.17926878243961622</v>
      </c>
      <c r="F57">
        <v>0.04</v>
      </c>
    </row>
    <row r="58" spans="1:6" x14ac:dyDescent="0.2">
      <c r="A58" t="s">
        <v>831</v>
      </c>
      <c r="B58" t="s">
        <v>1186</v>
      </c>
      <c r="C58">
        <v>2.77</v>
      </c>
      <c r="D58" t="s">
        <v>839</v>
      </c>
      <c r="E58" s="21">
        <v>1.0459761533782757</v>
      </c>
      <c r="F58">
        <v>7.0000000000000001E-3</v>
      </c>
    </row>
    <row r="59" spans="1:6" x14ac:dyDescent="0.2">
      <c r="A59" t="s">
        <v>832</v>
      </c>
      <c r="B59" t="s">
        <v>1186</v>
      </c>
      <c r="C59">
        <v>2.4</v>
      </c>
      <c r="D59" t="s">
        <v>840</v>
      </c>
      <c r="E59" s="21">
        <v>0.62702946595749098</v>
      </c>
      <c r="F59">
        <v>1E-3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B394-6B58-449B-8EE5-70DF123E0271}">
  <dimension ref="A1:F58"/>
  <sheetViews>
    <sheetView topLeftCell="A23" workbookViewId="0">
      <selection activeCell="A29" sqref="A29"/>
    </sheetView>
  </sheetViews>
  <sheetFormatPr defaultRowHeight="14.25" x14ac:dyDescent="0.2"/>
  <cols>
    <col min="1" max="1" width="46.125" customWidth="1"/>
    <col min="2" max="2" width="35.375" customWidth="1"/>
  </cols>
  <sheetData>
    <row r="1" spans="1:6" x14ac:dyDescent="0.2">
      <c r="A1" s="11" t="s">
        <v>3</v>
      </c>
      <c r="C1" t="s">
        <v>13</v>
      </c>
      <c r="D1" t="s">
        <v>685</v>
      </c>
      <c r="E1" t="s">
        <v>332</v>
      </c>
      <c r="F1" t="s">
        <v>686</v>
      </c>
    </row>
    <row r="2" spans="1:6" x14ac:dyDescent="0.2">
      <c r="A2" t="s">
        <v>395</v>
      </c>
      <c r="B2" t="s">
        <v>1172</v>
      </c>
      <c r="C2" s="2">
        <v>0.19</v>
      </c>
      <c r="D2" s="2" t="s">
        <v>391</v>
      </c>
      <c r="E2" s="8">
        <v>0.12720000000000001</v>
      </c>
      <c r="F2" s="2">
        <v>0.01</v>
      </c>
    </row>
    <row r="3" spans="1:6" x14ac:dyDescent="0.2">
      <c r="A3" t="s">
        <v>388</v>
      </c>
      <c r="B3" t="s">
        <v>1175</v>
      </c>
      <c r="C3" s="2">
        <v>0.41</v>
      </c>
      <c r="D3" s="2" t="s">
        <v>392</v>
      </c>
      <c r="E3" s="8">
        <v>0.17510000000000001</v>
      </c>
      <c r="F3" s="2">
        <v>0.04</v>
      </c>
    </row>
    <row r="4" spans="1:6" x14ac:dyDescent="0.2">
      <c r="A4" t="s">
        <v>389</v>
      </c>
      <c r="B4" t="s">
        <v>1175</v>
      </c>
      <c r="C4" s="2">
        <v>1.77</v>
      </c>
      <c r="D4" s="2" t="s">
        <v>393</v>
      </c>
      <c r="E4" s="8">
        <v>0.52829999999999999</v>
      </c>
      <c r="F4" s="2">
        <v>0.05</v>
      </c>
    </row>
    <row r="5" spans="1:6" x14ac:dyDescent="0.2">
      <c r="A5" t="s">
        <v>390</v>
      </c>
      <c r="B5" t="s">
        <v>223</v>
      </c>
      <c r="C5" s="2">
        <v>1.76</v>
      </c>
      <c r="D5" s="2" t="s">
        <v>394</v>
      </c>
      <c r="E5" s="8">
        <v>0.40329999999999999</v>
      </c>
      <c r="F5" s="2">
        <v>0.01</v>
      </c>
    </row>
    <row r="6" spans="1:6" x14ac:dyDescent="0.2">
      <c r="A6" t="s">
        <v>403</v>
      </c>
      <c r="C6" s="2">
        <v>4.5999999999999996</v>
      </c>
      <c r="D6" s="2" t="s">
        <v>396</v>
      </c>
      <c r="E6" s="8">
        <v>1.0204</v>
      </c>
      <c r="F6" s="2" t="s">
        <v>64</v>
      </c>
    </row>
    <row r="7" spans="1:6" ht="28.5" x14ac:dyDescent="0.2">
      <c r="A7" t="s">
        <v>404</v>
      </c>
      <c r="C7" s="2">
        <v>11.06</v>
      </c>
      <c r="D7" s="2" t="s">
        <v>397</v>
      </c>
      <c r="E7" s="8">
        <v>3.4719000000000002</v>
      </c>
      <c r="F7" s="2" t="s">
        <v>64</v>
      </c>
    </row>
    <row r="8" spans="1:6" x14ac:dyDescent="0.2">
      <c r="A8" t="s">
        <v>251</v>
      </c>
      <c r="B8" t="s">
        <v>1171</v>
      </c>
      <c r="C8" s="2">
        <v>0.73</v>
      </c>
      <c r="D8" s="2" t="s">
        <v>424</v>
      </c>
      <c r="E8" s="8">
        <v>7.6600000000000001E-2</v>
      </c>
      <c r="F8" s="2" t="s">
        <v>64</v>
      </c>
    </row>
    <row r="9" spans="1:6" x14ac:dyDescent="0.2">
      <c r="A9" t="s">
        <v>6</v>
      </c>
      <c r="B9" t="s">
        <v>1172</v>
      </c>
      <c r="C9" s="2">
        <v>0.7</v>
      </c>
      <c r="D9" s="2" t="s">
        <v>425</v>
      </c>
      <c r="E9" s="8">
        <v>0.15240000000000001</v>
      </c>
    </row>
    <row r="10" spans="1:6" x14ac:dyDescent="0.2">
      <c r="A10" t="s">
        <v>370</v>
      </c>
      <c r="B10" t="s">
        <v>1185</v>
      </c>
      <c r="C10" s="2">
        <v>1.0900000000000001</v>
      </c>
      <c r="D10" s="2" t="s">
        <v>426</v>
      </c>
      <c r="E10" s="8">
        <v>0.1138</v>
      </c>
    </row>
    <row r="11" spans="1:6" x14ac:dyDescent="0.2">
      <c r="A11" t="s">
        <v>373</v>
      </c>
      <c r="B11" t="s">
        <v>1185</v>
      </c>
      <c r="C11" s="2">
        <v>1.19</v>
      </c>
      <c r="D11" s="2" t="s">
        <v>427</v>
      </c>
      <c r="E11" s="8">
        <v>0.33350000000000002</v>
      </c>
    </row>
    <row r="12" spans="1:6" x14ac:dyDescent="0.2">
      <c r="A12" t="s">
        <v>371</v>
      </c>
      <c r="B12" t="s">
        <v>1185</v>
      </c>
      <c r="C12" s="2">
        <v>1.1299999999999999</v>
      </c>
      <c r="D12" s="2" t="s">
        <v>428</v>
      </c>
      <c r="E12" s="8">
        <v>0.1013</v>
      </c>
      <c r="F12" s="2"/>
    </row>
    <row r="13" spans="1:6" x14ac:dyDescent="0.2">
      <c r="A13" t="s">
        <v>372</v>
      </c>
      <c r="B13" t="s">
        <v>1185</v>
      </c>
      <c r="C13" s="2">
        <v>1.27</v>
      </c>
      <c r="D13" s="2" t="s">
        <v>429</v>
      </c>
      <c r="E13" s="8">
        <v>0.39429999999999998</v>
      </c>
      <c r="F13" s="2"/>
    </row>
    <row r="14" spans="1:6" x14ac:dyDescent="0.2">
      <c r="A14" t="s">
        <v>374</v>
      </c>
      <c r="B14" t="s">
        <v>1196</v>
      </c>
      <c r="C14" s="2">
        <v>1.92</v>
      </c>
      <c r="D14" s="2" t="s">
        <v>430</v>
      </c>
      <c r="E14" s="8">
        <v>0.46010000000000001</v>
      </c>
      <c r="F14" s="2" t="s">
        <v>64</v>
      </c>
    </row>
    <row r="15" spans="1:6" x14ac:dyDescent="0.2">
      <c r="A15" t="s">
        <v>375</v>
      </c>
      <c r="B15" t="s">
        <v>1185</v>
      </c>
      <c r="C15" s="2">
        <v>1.1599999999999999</v>
      </c>
      <c r="D15" s="2" t="s">
        <v>431</v>
      </c>
      <c r="E15" s="8">
        <v>0.2374</v>
      </c>
      <c r="F15" s="18"/>
    </row>
    <row r="16" spans="1:6" x14ac:dyDescent="0.2">
      <c r="A16" t="s">
        <v>376</v>
      </c>
      <c r="B16" t="s">
        <v>1175</v>
      </c>
      <c r="C16" s="2">
        <v>1.3</v>
      </c>
      <c r="D16" s="2" t="s">
        <v>432</v>
      </c>
      <c r="E16" s="8">
        <v>0.26769999999999999</v>
      </c>
    </row>
    <row r="17" spans="1:6" x14ac:dyDescent="0.2">
      <c r="A17" t="s">
        <v>401</v>
      </c>
      <c r="B17" t="s">
        <v>1175</v>
      </c>
      <c r="C17" s="2">
        <v>2.29</v>
      </c>
      <c r="D17" s="2" t="s">
        <v>433</v>
      </c>
      <c r="E17" s="8">
        <v>0.49159999999999998</v>
      </c>
      <c r="F17" s="2" t="s">
        <v>64</v>
      </c>
    </row>
    <row r="18" spans="1:6" x14ac:dyDescent="0.2">
      <c r="A18" t="s">
        <v>402</v>
      </c>
      <c r="B18" t="s">
        <v>1175</v>
      </c>
      <c r="C18" s="2">
        <v>3.17</v>
      </c>
      <c r="D18" s="2" t="s">
        <v>434</v>
      </c>
      <c r="E18" s="8">
        <v>0.65410000000000001</v>
      </c>
      <c r="F18" s="2" t="s">
        <v>64</v>
      </c>
    </row>
    <row r="19" spans="1:6" x14ac:dyDescent="0.2">
      <c r="A19" t="s">
        <v>405</v>
      </c>
      <c r="B19" t="s">
        <v>1175</v>
      </c>
      <c r="C19" s="2">
        <v>1.56</v>
      </c>
      <c r="D19" s="2" t="s">
        <v>435</v>
      </c>
      <c r="E19" s="8">
        <v>0.32990000000000003</v>
      </c>
      <c r="F19" s="18"/>
    </row>
    <row r="20" spans="1:6" x14ac:dyDescent="0.2">
      <c r="A20" t="s">
        <v>377</v>
      </c>
      <c r="B20" t="s">
        <v>1185</v>
      </c>
      <c r="C20" s="2">
        <v>1.05</v>
      </c>
      <c r="D20" s="2" t="s">
        <v>436</v>
      </c>
      <c r="E20" s="8">
        <v>0.2147</v>
      </c>
      <c r="F20" s="18"/>
    </row>
    <row r="21" spans="1:6" x14ac:dyDescent="0.2">
      <c r="A21" t="s">
        <v>378</v>
      </c>
      <c r="B21" t="s">
        <v>1185</v>
      </c>
      <c r="C21" s="2">
        <v>0.32</v>
      </c>
      <c r="D21" s="2" t="s">
        <v>437</v>
      </c>
      <c r="E21" s="8">
        <v>0.2276</v>
      </c>
      <c r="F21" s="18"/>
    </row>
    <row r="22" spans="1:6" x14ac:dyDescent="0.2">
      <c r="A22" t="s">
        <v>379</v>
      </c>
      <c r="B22" t="s">
        <v>1175</v>
      </c>
      <c r="C22" s="2">
        <v>1.43</v>
      </c>
      <c r="D22" s="2" t="s">
        <v>438</v>
      </c>
      <c r="E22" s="8">
        <v>0.35680000000000001</v>
      </c>
      <c r="F22" s="18"/>
    </row>
    <row r="23" spans="1:6" x14ac:dyDescent="0.2">
      <c r="A23" t="s">
        <v>380</v>
      </c>
      <c r="B23" t="s">
        <v>1175</v>
      </c>
      <c r="C23" s="2">
        <v>1.55</v>
      </c>
      <c r="D23" s="2" t="s">
        <v>439</v>
      </c>
      <c r="E23" s="8">
        <v>0.90969999999999995</v>
      </c>
      <c r="F23" s="18"/>
    </row>
    <row r="24" spans="1:6" x14ac:dyDescent="0.2">
      <c r="A24" t="s">
        <v>381</v>
      </c>
      <c r="B24" t="s">
        <v>1175</v>
      </c>
      <c r="C24" s="2">
        <v>1.4</v>
      </c>
      <c r="D24" s="2" t="s">
        <v>440</v>
      </c>
      <c r="E24" s="8">
        <v>0.49249999999999999</v>
      </c>
      <c r="F24" s="18"/>
    </row>
    <row r="25" spans="1:6" x14ac:dyDescent="0.2">
      <c r="A25" t="s">
        <v>400</v>
      </c>
      <c r="B25" t="s">
        <v>1175</v>
      </c>
      <c r="C25" s="2">
        <v>1.71</v>
      </c>
      <c r="D25" s="2" t="s">
        <v>441</v>
      </c>
      <c r="E25" s="8">
        <v>0.4294</v>
      </c>
      <c r="F25" s="2">
        <v>0.03</v>
      </c>
    </row>
    <row r="26" spans="1:6" x14ac:dyDescent="0.2">
      <c r="A26" t="s">
        <v>399</v>
      </c>
      <c r="B26" t="s">
        <v>1175</v>
      </c>
      <c r="C26" s="2">
        <v>1.48</v>
      </c>
      <c r="D26" s="2" t="s">
        <v>442</v>
      </c>
      <c r="E26" s="8">
        <v>0.14680000000000001</v>
      </c>
      <c r="F26" s="2" t="s">
        <v>64</v>
      </c>
    </row>
    <row r="27" spans="1:6" x14ac:dyDescent="0.2">
      <c r="A27" t="s">
        <v>398</v>
      </c>
      <c r="B27" t="s">
        <v>1175</v>
      </c>
      <c r="C27" s="2">
        <v>1.32</v>
      </c>
      <c r="D27" s="2" t="s">
        <v>443</v>
      </c>
      <c r="E27" s="8">
        <v>0.12709999999999999</v>
      </c>
      <c r="F27" s="2" t="s">
        <v>64</v>
      </c>
    </row>
    <row r="28" spans="1:6" x14ac:dyDescent="0.2">
      <c r="A28" t="s">
        <v>406</v>
      </c>
      <c r="B28" t="s">
        <v>1175</v>
      </c>
      <c r="C28" s="2">
        <v>1.19</v>
      </c>
      <c r="D28" s="2" t="s">
        <v>444</v>
      </c>
      <c r="E28" s="8">
        <v>0.1168</v>
      </c>
      <c r="F28" s="18"/>
    </row>
    <row r="29" spans="1:6" x14ac:dyDescent="0.2">
      <c r="A29" t="s">
        <v>407</v>
      </c>
      <c r="B29" t="s">
        <v>1175</v>
      </c>
      <c r="C29" s="2">
        <v>0.89</v>
      </c>
      <c r="D29" s="2" t="s">
        <v>445</v>
      </c>
      <c r="E29" s="8">
        <v>9.0999999999999998E-2</v>
      </c>
      <c r="F29" s="18"/>
    </row>
    <row r="30" spans="1:6" x14ac:dyDescent="0.2">
      <c r="A30" t="s">
        <v>408</v>
      </c>
      <c r="B30" t="s">
        <v>1175</v>
      </c>
      <c r="C30" s="2">
        <v>1.33</v>
      </c>
      <c r="D30" s="2" t="s">
        <v>446</v>
      </c>
      <c r="E30" s="8">
        <v>0.12189999999999999</v>
      </c>
      <c r="F30" s="2" t="s">
        <v>64</v>
      </c>
    </row>
    <row r="31" spans="1:6" x14ac:dyDescent="0.2">
      <c r="A31" t="s">
        <v>409</v>
      </c>
      <c r="B31" t="s">
        <v>1175</v>
      </c>
      <c r="C31" s="2">
        <v>2.06</v>
      </c>
      <c r="D31" s="2" t="s">
        <v>447</v>
      </c>
      <c r="E31" s="8">
        <v>0.20269999999999999</v>
      </c>
      <c r="F31" s="2" t="s">
        <v>64</v>
      </c>
    </row>
    <row r="32" spans="1:6" x14ac:dyDescent="0.2">
      <c r="A32" t="s">
        <v>382</v>
      </c>
      <c r="B32" t="s">
        <v>223</v>
      </c>
      <c r="C32" s="2">
        <v>1.9</v>
      </c>
      <c r="D32" s="2" t="s">
        <v>448</v>
      </c>
      <c r="E32" s="8">
        <v>0.58679999999999999</v>
      </c>
      <c r="F32" s="18"/>
    </row>
    <row r="33" spans="1:6" x14ac:dyDescent="0.2">
      <c r="A33" t="s">
        <v>410</v>
      </c>
      <c r="B33" t="s">
        <v>223</v>
      </c>
      <c r="C33" s="2">
        <v>1.0900000000000001</v>
      </c>
      <c r="D33" s="2" t="s">
        <v>449</v>
      </c>
      <c r="E33" s="8">
        <v>0.11169999999999999</v>
      </c>
      <c r="F33" s="18"/>
    </row>
    <row r="34" spans="1:6" x14ac:dyDescent="0.2">
      <c r="A34" t="s">
        <v>411</v>
      </c>
      <c r="B34" t="s">
        <v>223</v>
      </c>
      <c r="C34" s="2">
        <v>1.23</v>
      </c>
      <c r="D34" s="2" t="s">
        <v>450</v>
      </c>
      <c r="E34" s="8">
        <v>0.1095</v>
      </c>
      <c r="F34" s="2">
        <v>0.02</v>
      </c>
    </row>
    <row r="35" spans="1:6" x14ac:dyDescent="0.2">
      <c r="A35" t="s">
        <v>412</v>
      </c>
      <c r="B35" t="s">
        <v>1186</v>
      </c>
      <c r="C35" s="2">
        <v>0.87</v>
      </c>
      <c r="D35" s="2" t="s">
        <v>451</v>
      </c>
      <c r="E35" s="8">
        <v>9.0999999999999998E-2</v>
      </c>
      <c r="F35" s="18"/>
    </row>
    <row r="36" spans="1:6" x14ac:dyDescent="0.2">
      <c r="A36" t="s">
        <v>413</v>
      </c>
      <c r="B36" t="s">
        <v>1186</v>
      </c>
      <c r="C36" s="2">
        <v>1.05</v>
      </c>
      <c r="D36" s="2" t="s">
        <v>452</v>
      </c>
      <c r="E36" s="8">
        <v>0.11899999999999999</v>
      </c>
      <c r="F36" s="18"/>
    </row>
    <row r="37" spans="1:6" x14ac:dyDescent="0.2">
      <c r="A37" t="s">
        <v>383</v>
      </c>
      <c r="B37" t="s">
        <v>1186</v>
      </c>
      <c r="C37" s="2">
        <v>0.86</v>
      </c>
      <c r="D37" s="2" t="s">
        <v>453</v>
      </c>
      <c r="E37" s="8">
        <v>0.17749999999999999</v>
      </c>
      <c r="F37" s="18"/>
    </row>
    <row r="38" spans="1:6" x14ac:dyDescent="0.2">
      <c r="A38" t="s">
        <v>388</v>
      </c>
      <c r="B38" t="s">
        <v>1175</v>
      </c>
      <c r="C38" s="2">
        <v>0.9</v>
      </c>
      <c r="D38" s="2" t="s">
        <v>454</v>
      </c>
      <c r="E38" s="8">
        <v>9.3100000000000002E-2</v>
      </c>
      <c r="F38" s="18"/>
    </row>
    <row r="39" spans="1:6" x14ac:dyDescent="0.2">
      <c r="A39" t="s">
        <v>414</v>
      </c>
      <c r="B39" t="s">
        <v>1175</v>
      </c>
      <c r="C39" s="2">
        <v>0.71</v>
      </c>
      <c r="D39" s="2" t="s">
        <v>455</v>
      </c>
      <c r="E39" s="8">
        <v>7.0300000000000001E-2</v>
      </c>
      <c r="F39" s="2" t="s">
        <v>64</v>
      </c>
    </row>
    <row r="40" spans="1:6" x14ac:dyDescent="0.2">
      <c r="A40" t="s">
        <v>415</v>
      </c>
      <c r="B40" t="s">
        <v>1186</v>
      </c>
      <c r="C40" s="2">
        <v>1.45</v>
      </c>
      <c r="D40" s="2" t="s">
        <v>456</v>
      </c>
      <c r="E40" s="8">
        <v>0.37109999999999999</v>
      </c>
      <c r="F40" s="18"/>
    </row>
    <row r="41" spans="1:6" x14ac:dyDescent="0.2">
      <c r="A41" t="s">
        <v>384</v>
      </c>
      <c r="B41" t="s">
        <v>1186</v>
      </c>
      <c r="C41" s="2">
        <v>1.29</v>
      </c>
      <c r="D41" s="2" t="s">
        <v>457</v>
      </c>
      <c r="E41" s="8">
        <v>0.33939999999999998</v>
      </c>
      <c r="F41" s="18"/>
    </row>
    <row r="42" spans="1:6" x14ac:dyDescent="0.2">
      <c r="A42" t="s">
        <v>385</v>
      </c>
      <c r="B42" t="s">
        <v>1175</v>
      </c>
      <c r="C42" s="2">
        <v>0.84</v>
      </c>
      <c r="D42" s="2" t="s">
        <v>458</v>
      </c>
      <c r="E42" s="8">
        <v>0.38600000000000001</v>
      </c>
      <c r="F42" s="18"/>
    </row>
    <row r="43" spans="1:6" x14ac:dyDescent="0.2">
      <c r="A43" t="s">
        <v>386</v>
      </c>
      <c r="B43" t="s">
        <v>1175</v>
      </c>
      <c r="C43" s="2">
        <v>0.51</v>
      </c>
      <c r="D43" s="2" t="s">
        <v>459</v>
      </c>
      <c r="E43" s="8">
        <v>0.3004</v>
      </c>
      <c r="F43" s="18"/>
    </row>
    <row r="44" spans="1:6" ht="28.5" x14ac:dyDescent="0.2">
      <c r="A44" t="s">
        <v>416</v>
      </c>
      <c r="B44" t="s">
        <v>1175</v>
      </c>
      <c r="C44" s="2">
        <v>1.0509999999999999</v>
      </c>
      <c r="D44" s="2" t="s">
        <v>460</v>
      </c>
      <c r="E44" s="8">
        <v>6.8999999999999999E-3</v>
      </c>
      <c r="F44" s="2" t="s">
        <v>64</v>
      </c>
    </row>
    <row r="45" spans="1:6" ht="28.5" x14ac:dyDescent="0.2">
      <c r="A45" t="s">
        <v>417</v>
      </c>
      <c r="B45" t="s">
        <v>1175</v>
      </c>
      <c r="C45" s="2">
        <v>1.1200000000000001</v>
      </c>
      <c r="D45" s="2" t="s">
        <v>461</v>
      </c>
      <c r="E45" s="8">
        <v>3.4700000000000002E-2</v>
      </c>
      <c r="F45" s="2" t="s">
        <v>64</v>
      </c>
    </row>
    <row r="46" spans="1:6" ht="28.5" x14ac:dyDescent="0.2">
      <c r="A46" t="s">
        <v>418</v>
      </c>
      <c r="B46" t="s">
        <v>1175</v>
      </c>
      <c r="C46" s="2">
        <v>1.133</v>
      </c>
      <c r="D46" s="2" t="s">
        <v>462</v>
      </c>
      <c r="E46" s="8">
        <v>2.5000000000000001E-2</v>
      </c>
      <c r="F46" s="2" t="s">
        <v>64</v>
      </c>
    </row>
    <row r="47" spans="1:6" ht="28.5" x14ac:dyDescent="0.2">
      <c r="A47" t="s">
        <v>419</v>
      </c>
      <c r="B47" t="s">
        <v>1175</v>
      </c>
      <c r="C47" s="2">
        <v>1.081</v>
      </c>
      <c r="D47" s="2" t="s">
        <v>463</v>
      </c>
      <c r="E47" s="8">
        <v>4.8599999999999997E-2</v>
      </c>
      <c r="F47" s="2"/>
    </row>
    <row r="48" spans="1:6" ht="28.5" x14ac:dyDescent="0.2">
      <c r="A48" t="s">
        <v>420</v>
      </c>
      <c r="B48" t="s">
        <v>1175</v>
      </c>
      <c r="C48" s="2">
        <v>1.1539999999999999</v>
      </c>
      <c r="D48" s="2" t="s">
        <v>464</v>
      </c>
      <c r="E48" s="8">
        <v>3.8199999999999998E-2</v>
      </c>
      <c r="F48" s="2" t="s">
        <v>64</v>
      </c>
    </row>
    <row r="49" spans="1:6" ht="28.5" x14ac:dyDescent="0.2">
      <c r="A49" t="s">
        <v>421</v>
      </c>
      <c r="B49" t="s">
        <v>1175</v>
      </c>
      <c r="C49" s="2">
        <v>1.5429999999999999</v>
      </c>
      <c r="D49" s="2" t="s">
        <v>465</v>
      </c>
      <c r="E49" s="8">
        <v>5.5800000000000002E-2</v>
      </c>
      <c r="F49" s="2" t="s">
        <v>64</v>
      </c>
    </row>
    <row r="50" spans="1:6" ht="28.5" x14ac:dyDescent="0.2">
      <c r="A50" t="s">
        <v>422</v>
      </c>
      <c r="B50" t="s">
        <v>223</v>
      </c>
      <c r="C50" s="2">
        <v>1.292</v>
      </c>
      <c r="D50" s="2" t="s">
        <v>466</v>
      </c>
      <c r="E50" s="8">
        <v>0.24129999999999999</v>
      </c>
      <c r="F50" s="2"/>
    </row>
    <row r="51" spans="1:6" ht="28.5" x14ac:dyDescent="0.2">
      <c r="A51" t="s">
        <v>423</v>
      </c>
      <c r="B51" t="s">
        <v>223</v>
      </c>
      <c r="C51" s="2">
        <v>1.585</v>
      </c>
      <c r="D51" s="2" t="s">
        <v>467</v>
      </c>
      <c r="E51" s="8">
        <v>0.2586</v>
      </c>
      <c r="F51" s="2" t="s">
        <v>64</v>
      </c>
    </row>
    <row r="52" spans="1:6" x14ac:dyDescent="0.2">
      <c r="A52" t="s">
        <v>468</v>
      </c>
      <c r="C52" s="2">
        <v>5.0999999999999996</v>
      </c>
      <c r="D52" s="2" t="s">
        <v>484</v>
      </c>
      <c r="E52" s="2">
        <v>1.7641</v>
      </c>
      <c r="F52" s="2" t="s">
        <v>64</v>
      </c>
    </row>
    <row r="53" spans="1:6" x14ac:dyDescent="0.2">
      <c r="A53" t="s">
        <v>404</v>
      </c>
      <c r="C53" s="2">
        <v>2.3199999999999998</v>
      </c>
      <c r="D53" s="2" t="s">
        <v>485</v>
      </c>
      <c r="E53" s="2">
        <v>0.74570000000000003</v>
      </c>
      <c r="F53" s="2" t="s">
        <v>64</v>
      </c>
    </row>
    <row r="54" spans="1:6" x14ac:dyDescent="0.2">
      <c r="A54" t="s">
        <v>402</v>
      </c>
      <c r="B54" t="s">
        <v>1175</v>
      </c>
      <c r="C54" s="2">
        <v>2.14</v>
      </c>
      <c r="D54" s="2" t="s">
        <v>486</v>
      </c>
      <c r="E54" s="2">
        <v>0.7016</v>
      </c>
      <c r="F54">
        <v>0.03</v>
      </c>
    </row>
    <row r="55" spans="1:6" x14ac:dyDescent="0.2">
      <c r="A55" t="s">
        <v>389</v>
      </c>
      <c r="B55" t="s">
        <v>1175</v>
      </c>
      <c r="C55" s="2">
        <v>1.67</v>
      </c>
      <c r="D55" s="2" t="s">
        <v>487</v>
      </c>
      <c r="E55" s="2">
        <v>0.28349999999999997</v>
      </c>
      <c r="F55" s="9" t="s">
        <v>64</v>
      </c>
    </row>
    <row r="56" spans="1:6" x14ac:dyDescent="0.2">
      <c r="A56" t="s">
        <v>469</v>
      </c>
      <c r="B56" t="s">
        <v>1175</v>
      </c>
      <c r="C56" s="2">
        <v>1.4</v>
      </c>
      <c r="D56" s="2" t="s">
        <v>488</v>
      </c>
      <c r="E56" s="2">
        <v>0.19070000000000001</v>
      </c>
      <c r="F56">
        <v>0.04</v>
      </c>
    </row>
    <row r="57" spans="1:6" x14ac:dyDescent="0.2">
      <c r="A57" t="s">
        <v>470</v>
      </c>
      <c r="B57" t="s">
        <v>1175</v>
      </c>
      <c r="C57" s="2">
        <v>3.5</v>
      </c>
      <c r="D57" s="2" t="s">
        <v>490</v>
      </c>
      <c r="E57" s="2">
        <v>0.33550000000000002</v>
      </c>
      <c r="F57" s="9" t="s">
        <v>64</v>
      </c>
    </row>
    <row r="58" spans="1:6" x14ac:dyDescent="0.2">
      <c r="A58" t="s">
        <v>471</v>
      </c>
      <c r="B58" t="s">
        <v>1175</v>
      </c>
      <c r="C58" s="2">
        <v>0.66</v>
      </c>
      <c r="D58" s="2" t="s">
        <v>489</v>
      </c>
      <c r="E58" s="2">
        <v>0.1135</v>
      </c>
      <c r="F58" s="9" t="s">
        <v>64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B97E-5019-447B-A7D6-51F6129C4788}">
  <dimension ref="A1:Z63"/>
  <sheetViews>
    <sheetView topLeftCell="A21" workbookViewId="0">
      <selection activeCell="C39" sqref="C39"/>
    </sheetView>
  </sheetViews>
  <sheetFormatPr defaultRowHeight="14.25" x14ac:dyDescent="0.2"/>
  <cols>
    <col min="1" max="1" width="58.625" customWidth="1"/>
    <col min="13" max="13" width="23.625" customWidth="1"/>
  </cols>
  <sheetData>
    <row r="1" spans="1:25" ht="16.5" customHeight="1" x14ac:dyDescent="0.2">
      <c r="C1" t="s">
        <v>13</v>
      </c>
      <c r="D1" t="s">
        <v>0</v>
      </c>
      <c r="E1" t="s">
        <v>332</v>
      </c>
      <c r="F1" t="s">
        <v>621</v>
      </c>
      <c r="W1" s="3"/>
      <c r="X1" s="3"/>
      <c r="Y1" s="3"/>
    </row>
    <row r="2" spans="1:25" ht="15" thickBot="1" x14ac:dyDescent="0.25">
      <c r="A2" t="s">
        <v>525</v>
      </c>
      <c r="B2" t="s">
        <v>1172</v>
      </c>
      <c r="C2">
        <v>1.56</v>
      </c>
      <c r="D2" t="s">
        <v>1201</v>
      </c>
      <c r="E2">
        <v>1.1021000000000001</v>
      </c>
      <c r="F2">
        <v>0.35199999999999998</v>
      </c>
    </row>
    <row r="3" spans="1:25" ht="18" thickTop="1" thickBot="1" x14ac:dyDescent="0.25">
      <c r="A3" t="s">
        <v>526</v>
      </c>
      <c r="B3" t="s">
        <v>1172</v>
      </c>
      <c r="C3">
        <v>2.25</v>
      </c>
      <c r="D3" t="s">
        <v>542</v>
      </c>
      <c r="E3">
        <v>1.9091</v>
      </c>
      <c r="F3">
        <v>0.29099999999999998</v>
      </c>
      <c r="S3" s="43"/>
      <c r="T3" s="44"/>
      <c r="U3" s="44"/>
      <c r="V3" s="45"/>
    </row>
    <row r="4" spans="1:25" x14ac:dyDescent="0.2">
      <c r="A4" t="s">
        <v>532</v>
      </c>
      <c r="B4" t="s">
        <v>1171</v>
      </c>
      <c r="C4">
        <v>0.98</v>
      </c>
      <c r="D4" t="s">
        <v>537</v>
      </c>
      <c r="E4">
        <v>2.46E-2</v>
      </c>
      <c r="F4">
        <v>0.504</v>
      </c>
    </row>
    <row r="5" spans="1:25" x14ac:dyDescent="0.2">
      <c r="A5" t="s">
        <v>527</v>
      </c>
      <c r="B5" t="s">
        <v>1171</v>
      </c>
      <c r="C5">
        <v>0.95</v>
      </c>
      <c r="D5" t="s">
        <v>543</v>
      </c>
      <c r="E5">
        <v>4.24E-2</v>
      </c>
      <c r="F5">
        <v>0.252</v>
      </c>
    </row>
    <row r="6" spans="1:25" x14ac:dyDescent="0.2">
      <c r="A6" t="s">
        <v>533</v>
      </c>
      <c r="B6" t="s">
        <v>1185</v>
      </c>
      <c r="C6">
        <v>1.02</v>
      </c>
      <c r="D6" t="s">
        <v>538</v>
      </c>
      <c r="E6">
        <v>6.7500000000000004E-2</v>
      </c>
      <c r="F6">
        <v>0.78600000000000003</v>
      </c>
    </row>
    <row r="7" spans="1:25" x14ac:dyDescent="0.2">
      <c r="A7" t="s">
        <v>528</v>
      </c>
      <c r="B7" t="s">
        <v>1185</v>
      </c>
      <c r="C7">
        <v>0.94</v>
      </c>
      <c r="D7" t="s">
        <v>544</v>
      </c>
      <c r="E7">
        <v>0.11700000000000001</v>
      </c>
      <c r="F7">
        <v>0.58799999999999997</v>
      </c>
    </row>
    <row r="8" spans="1:25" x14ac:dyDescent="0.2">
      <c r="A8" t="s">
        <v>534</v>
      </c>
      <c r="B8" t="s">
        <v>1185</v>
      </c>
      <c r="C8">
        <v>1.76</v>
      </c>
      <c r="D8" t="s">
        <v>539</v>
      </c>
      <c r="E8">
        <v>1.3309</v>
      </c>
      <c r="F8">
        <v>0.35099999999999998</v>
      </c>
    </row>
    <row r="9" spans="1:25" x14ac:dyDescent="0.2">
      <c r="A9" t="s">
        <v>529</v>
      </c>
      <c r="B9" t="s">
        <v>1185</v>
      </c>
      <c r="C9">
        <v>1.34</v>
      </c>
      <c r="D9" t="s">
        <v>545</v>
      </c>
      <c r="E9">
        <v>4.2207999999999997</v>
      </c>
      <c r="F9">
        <v>0.80100000000000005</v>
      </c>
    </row>
    <row r="10" spans="1:25" x14ac:dyDescent="0.2">
      <c r="A10" t="s">
        <v>535</v>
      </c>
      <c r="B10" t="s">
        <v>1185</v>
      </c>
      <c r="C10">
        <v>0.24</v>
      </c>
      <c r="D10" t="s">
        <v>540</v>
      </c>
      <c r="E10">
        <v>0.2641</v>
      </c>
      <c r="F10">
        <v>0.183</v>
      </c>
    </row>
    <row r="11" spans="1:25" x14ac:dyDescent="0.2">
      <c r="A11" t="s">
        <v>530</v>
      </c>
      <c r="B11" t="s">
        <v>1185</v>
      </c>
      <c r="C11">
        <v>0</v>
      </c>
      <c r="F11">
        <v>0.999</v>
      </c>
    </row>
    <row r="12" spans="1:25" x14ac:dyDescent="0.2">
      <c r="A12" t="s">
        <v>536</v>
      </c>
      <c r="B12" t="s">
        <v>1185</v>
      </c>
      <c r="C12">
        <v>0.83</v>
      </c>
      <c r="D12" t="s">
        <v>541</v>
      </c>
      <c r="E12">
        <v>0.53159999999999996</v>
      </c>
      <c r="F12">
        <v>0.65900000000000003</v>
      </c>
    </row>
    <row r="13" spans="1:25" x14ac:dyDescent="0.2">
      <c r="A13" t="s">
        <v>531</v>
      </c>
      <c r="B13" t="s">
        <v>1185</v>
      </c>
      <c r="C13">
        <v>2.2000000000000002</v>
      </c>
      <c r="D13" t="s">
        <v>546</v>
      </c>
      <c r="E13">
        <v>2.2023000000000001</v>
      </c>
      <c r="F13">
        <v>0.36099999999999999</v>
      </c>
    </row>
    <row r="14" spans="1:25" x14ac:dyDescent="0.2">
      <c r="A14" t="s">
        <v>583</v>
      </c>
      <c r="B14" t="s">
        <v>1175</v>
      </c>
      <c r="C14">
        <v>1.1399999999999999</v>
      </c>
      <c r="D14" t="s">
        <v>547</v>
      </c>
      <c r="E14">
        <v>0.78690000000000004</v>
      </c>
      <c r="F14">
        <v>0.76500000000000001</v>
      </c>
    </row>
    <row r="15" spans="1:25" x14ac:dyDescent="0.2">
      <c r="A15" t="s">
        <v>603</v>
      </c>
      <c r="B15" t="s">
        <v>1175</v>
      </c>
      <c r="C15">
        <v>3.11</v>
      </c>
      <c r="D15" t="s">
        <v>548</v>
      </c>
      <c r="E15">
        <v>4.8334999999999999</v>
      </c>
      <c r="F15">
        <v>0.307</v>
      </c>
    </row>
    <row r="16" spans="1:25" x14ac:dyDescent="0.2">
      <c r="A16" t="s">
        <v>584</v>
      </c>
      <c r="B16" t="s">
        <v>1175</v>
      </c>
      <c r="C16">
        <v>4</v>
      </c>
      <c r="D16" t="s">
        <v>549</v>
      </c>
      <c r="E16">
        <v>2.0686</v>
      </c>
      <c r="F16">
        <v>2E-3</v>
      </c>
    </row>
    <row r="17" spans="1:26" x14ac:dyDescent="0.2">
      <c r="A17" t="s">
        <v>602</v>
      </c>
      <c r="B17" t="s">
        <v>1175</v>
      </c>
      <c r="C17">
        <v>13.22</v>
      </c>
      <c r="D17" t="s">
        <v>550</v>
      </c>
      <c r="E17">
        <v>17.599900000000002</v>
      </c>
      <c r="F17">
        <v>0.02</v>
      </c>
    </row>
    <row r="18" spans="1:26" x14ac:dyDescent="0.2">
      <c r="A18" t="s">
        <v>585</v>
      </c>
      <c r="B18" t="s">
        <v>223</v>
      </c>
      <c r="C18">
        <v>1.2</v>
      </c>
      <c r="D18" t="s">
        <v>551</v>
      </c>
      <c r="E18">
        <v>0.74750000000000005</v>
      </c>
      <c r="F18">
        <v>0.68200000000000005</v>
      </c>
    </row>
    <row r="19" spans="1:26" ht="16.5" customHeight="1" x14ac:dyDescent="0.2">
      <c r="A19" t="s">
        <v>604</v>
      </c>
      <c r="B19" t="s">
        <v>223</v>
      </c>
      <c r="C19">
        <v>2.0299999999999998</v>
      </c>
      <c r="D19" t="s">
        <v>552</v>
      </c>
      <c r="E19">
        <v>1.9772000000000001</v>
      </c>
      <c r="F19">
        <v>0.41199999999999998</v>
      </c>
    </row>
    <row r="20" spans="1:26" x14ac:dyDescent="0.2">
      <c r="A20" t="s">
        <v>586</v>
      </c>
      <c r="B20" t="s">
        <v>223</v>
      </c>
      <c r="C20">
        <v>1.38</v>
      </c>
      <c r="D20" t="s">
        <v>553</v>
      </c>
      <c r="E20">
        <v>0.95250000000000001</v>
      </c>
      <c r="F20">
        <v>0.44900000000000001</v>
      </c>
    </row>
    <row r="21" spans="1:26" x14ac:dyDescent="0.2">
      <c r="A21" t="s">
        <v>605</v>
      </c>
      <c r="B21" t="s">
        <v>223</v>
      </c>
      <c r="C21">
        <v>0.89</v>
      </c>
      <c r="D21" t="s">
        <v>554</v>
      </c>
      <c r="E21">
        <v>1.2689999999999999</v>
      </c>
      <c r="F21">
        <v>0.877</v>
      </c>
    </row>
    <row r="22" spans="1:26" x14ac:dyDescent="0.2">
      <c r="A22" t="s">
        <v>587</v>
      </c>
      <c r="B22" t="s">
        <v>1175</v>
      </c>
      <c r="C22">
        <v>1</v>
      </c>
      <c r="D22" t="s">
        <v>555</v>
      </c>
      <c r="E22">
        <v>5.1000000000000004E-3</v>
      </c>
      <c r="F22">
        <v>0.20399999999999999</v>
      </c>
    </row>
    <row r="23" spans="1:26" x14ac:dyDescent="0.2">
      <c r="A23" t="s">
        <v>606</v>
      </c>
      <c r="B23" t="s">
        <v>1175</v>
      </c>
      <c r="C23">
        <v>1</v>
      </c>
      <c r="D23" t="s">
        <v>556</v>
      </c>
      <c r="E23">
        <v>5.1000000000000004E-3</v>
      </c>
      <c r="F23">
        <v>0.29099999999999998</v>
      </c>
    </row>
    <row r="24" spans="1:26" x14ac:dyDescent="0.2">
      <c r="A24" t="s">
        <v>588</v>
      </c>
      <c r="B24" t="s">
        <v>1186</v>
      </c>
      <c r="C24">
        <v>1.7</v>
      </c>
      <c r="D24" t="s">
        <v>557</v>
      </c>
      <c r="E24">
        <v>1.0304</v>
      </c>
      <c r="F24">
        <v>0.43</v>
      </c>
    </row>
    <row r="25" spans="1:26" x14ac:dyDescent="0.2">
      <c r="A25" t="s">
        <v>607</v>
      </c>
      <c r="B25" t="s">
        <v>1186</v>
      </c>
      <c r="C25">
        <v>0</v>
      </c>
      <c r="F25">
        <v>0.999</v>
      </c>
      <c r="W25" s="3"/>
      <c r="X25" s="3"/>
      <c r="Y25" s="3"/>
      <c r="Z25" s="3"/>
    </row>
    <row r="26" spans="1:26" x14ac:dyDescent="0.2">
      <c r="A26" t="s">
        <v>589</v>
      </c>
      <c r="B26" t="s">
        <v>223</v>
      </c>
      <c r="C26">
        <v>1.19</v>
      </c>
      <c r="D26" t="s">
        <v>558</v>
      </c>
      <c r="E26">
        <v>0.63719999999999999</v>
      </c>
      <c r="F26">
        <v>0.68</v>
      </c>
      <c r="W26" s="2"/>
      <c r="X26" s="2"/>
      <c r="Y26" s="2"/>
      <c r="Z26" s="2"/>
    </row>
    <row r="27" spans="1:26" x14ac:dyDescent="0.2">
      <c r="A27" t="s">
        <v>608</v>
      </c>
      <c r="B27" t="s">
        <v>223</v>
      </c>
      <c r="C27">
        <v>2.57</v>
      </c>
      <c r="D27" t="s">
        <v>559</v>
      </c>
      <c r="E27">
        <v>2.2343999999999999</v>
      </c>
      <c r="F27">
        <v>0.27400000000000002</v>
      </c>
      <c r="W27" s="2"/>
      <c r="X27" s="2"/>
      <c r="Y27" s="2"/>
      <c r="Z27" s="2"/>
    </row>
    <row r="28" spans="1:26" x14ac:dyDescent="0.2">
      <c r="A28" t="s">
        <v>590</v>
      </c>
      <c r="B28" t="s">
        <v>1181</v>
      </c>
      <c r="W28" s="2"/>
      <c r="X28" s="2"/>
      <c r="Y28" s="2"/>
      <c r="Z28" s="2"/>
    </row>
    <row r="29" spans="1:26" x14ac:dyDescent="0.2">
      <c r="A29" t="s">
        <v>609</v>
      </c>
      <c r="B29" t="s">
        <v>1181</v>
      </c>
      <c r="C29">
        <v>5.56</v>
      </c>
      <c r="D29" t="s">
        <v>560</v>
      </c>
      <c r="E29">
        <v>4.5904999999999996</v>
      </c>
      <c r="F29">
        <v>3.2000000000000001E-2</v>
      </c>
      <c r="W29" s="2"/>
      <c r="X29" s="2"/>
      <c r="Y29" s="2"/>
      <c r="Z29" s="2"/>
    </row>
    <row r="30" spans="1:26" x14ac:dyDescent="0.2">
      <c r="A30" t="s">
        <v>591</v>
      </c>
      <c r="B30" t="s">
        <v>1191</v>
      </c>
      <c r="C30">
        <v>0.51</v>
      </c>
      <c r="D30" t="s">
        <v>579</v>
      </c>
      <c r="E30">
        <v>0.1857</v>
      </c>
      <c r="F30">
        <v>0.11600000000000001</v>
      </c>
      <c r="W30" s="2"/>
      <c r="X30" s="2"/>
      <c r="Y30" s="2"/>
      <c r="Z30" s="2"/>
    </row>
    <row r="31" spans="1:26" x14ac:dyDescent="0.2">
      <c r="A31" t="s">
        <v>610</v>
      </c>
      <c r="B31" t="s">
        <v>1191</v>
      </c>
      <c r="C31">
        <v>0.28999999999999998</v>
      </c>
      <c r="D31" t="s">
        <v>580</v>
      </c>
      <c r="E31">
        <v>0.18790000000000001</v>
      </c>
      <c r="F31">
        <v>0.14599999999999999</v>
      </c>
      <c r="W31" s="2"/>
      <c r="X31" s="2"/>
      <c r="Y31" s="2"/>
      <c r="Z31" s="2"/>
    </row>
    <row r="32" spans="1:26" x14ac:dyDescent="0.2">
      <c r="A32" t="s">
        <v>592</v>
      </c>
      <c r="B32" t="s">
        <v>1191</v>
      </c>
      <c r="C32">
        <v>2.71</v>
      </c>
      <c r="D32" t="s">
        <v>577</v>
      </c>
      <c r="E32">
        <v>1.9723999999999999</v>
      </c>
      <c r="F32">
        <v>4.8000000000000001E-2</v>
      </c>
      <c r="W32" s="2"/>
      <c r="X32" s="2"/>
      <c r="Y32" s="2"/>
      <c r="Z32" s="2"/>
    </row>
    <row r="33" spans="1:26" x14ac:dyDescent="0.2">
      <c r="A33" t="s">
        <v>611</v>
      </c>
      <c r="B33" t="s">
        <v>1191</v>
      </c>
      <c r="C33">
        <v>3.33</v>
      </c>
      <c r="D33" t="s">
        <v>578</v>
      </c>
      <c r="E33">
        <v>2.2909999999999999</v>
      </c>
      <c r="F33">
        <v>1.123</v>
      </c>
      <c r="W33" s="2"/>
      <c r="X33" s="2"/>
      <c r="Y33" s="2"/>
      <c r="Z33" s="2"/>
    </row>
    <row r="34" spans="1:26" x14ac:dyDescent="0.2">
      <c r="A34" t="s">
        <v>593</v>
      </c>
      <c r="B34" t="s">
        <v>1191</v>
      </c>
      <c r="C34">
        <v>0.74</v>
      </c>
      <c r="D34" t="s">
        <v>575</v>
      </c>
      <c r="E34">
        <v>0.37680000000000002</v>
      </c>
      <c r="F34">
        <v>0.52200000000000002</v>
      </c>
      <c r="W34" s="2"/>
      <c r="X34" s="2"/>
      <c r="Y34" s="2"/>
      <c r="Z34" s="2"/>
    </row>
    <row r="35" spans="1:26" x14ac:dyDescent="0.2">
      <c r="A35" t="s">
        <v>620</v>
      </c>
      <c r="B35" t="s">
        <v>1191</v>
      </c>
      <c r="C35">
        <v>1.1100000000000001</v>
      </c>
      <c r="D35" t="s">
        <v>576</v>
      </c>
      <c r="E35">
        <v>0.95150000000000001</v>
      </c>
      <c r="F35">
        <v>0.90500000000000003</v>
      </c>
      <c r="W35" s="2"/>
      <c r="X35" s="2"/>
      <c r="Y35" s="2"/>
      <c r="Z35" s="2"/>
    </row>
    <row r="36" spans="1:26" x14ac:dyDescent="0.2">
      <c r="A36" t="s">
        <v>594</v>
      </c>
      <c r="B36" t="s">
        <v>1175</v>
      </c>
      <c r="C36">
        <v>1.01</v>
      </c>
      <c r="D36" t="s">
        <v>573</v>
      </c>
      <c r="E36">
        <v>2.81E-2</v>
      </c>
      <c r="F36">
        <v>0.65300000000000002</v>
      </c>
      <c r="W36" s="2"/>
      <c r="X36" s="2"/>
      <c r="Y36" s="2"/>
      <c r="Z36" s="2"/>
    </row>
    <row r="37" spans="1:26" x14ac:dyDescent="0.2">
      <c r="A37" t="s">
        <v>619</v>
      </c>
      <c r="B37" t="s">
        <v>1175</v>
      </c>
      <c r="C37">
        <v>0.97</v>
      </c>
      <c r="D37" t="s">
        <v>574</v>
      </c>
      <c r="E37">
        <v>4.7399999999999998E-2</v>
      </c>
      <c r="F37">
        <v>0.52100000000000002</v>
      </c>
      <c r="W37" s="2"/>
      <c r="X37" s="2"/>
      <c r="Y37" s="2"/>
      <c r="Z37" s="2"/>
    </row>
    <row r="38" spans="1:26" x14ac:dyDescent="0.2">
      <c r="A38" t="s">
        <v>595</v>
      </c>
      <c r="B38" t="s">
        <v>1175</v>
      </c>
      <c r="C38">
        <v>0.96</v>
      </c>
      <c r="D38" t="s">
        <v>571</v>
      </c>
      <c r="E38">
        <v>2.4799999999999999E-2</v>
      </c>
      <c r="F38">
        <v>0.155</v>
      </c>
      <c r="W38" s="2"/>
      <c r="X38" s="2"/>
      <c r="Y38" s="2"/>
      <c r="Z38" s="2"/>
    </row>
    <row r="39" spans="1:26" x14ac:dyDescent="0.2">
      <c r="A39" t="s">
        <v>618</v>
      </c>
      <c r="B39" t="s">
        <v>1175</v>
      </c>
      <c r="C39">
        <v>0.99</v>
      </c>
      <c r="D39" t="s">
        <v>572</v>
      </c>
      <c r="E39">
        <v>4.9799999999999997E-2</v>
      </c>
      <c r="F39">
        <v>0.83199999999999996</v>
      </c>
      <c r="W39" s="2"/>
      <c r="X39" s="2"/>
      <c r="Y39" s="2"/>
      <c r="Z39" s="2"/>
    </row>
    <row r="40" spans="1:26" x14ac:dyDescent="0.2">
      <c r="A40" t="s">
        <v>596</v>
      </c>
      <c r="B40" t="s">
        <v>1175</v>
      </c>
      <c r="C40">
        <v>0.95</v>
      </c>
      <c r="D40" t="s">
        <v>569</v>
      </c>
      <c r="E40">
        <v>2.3300000000000001E-2</v>
      </c>
      <c r="F40">
        <v>3.1E-2</v>
      </c>
      <c r="W40" s="2"/>
      <c r="X40" s="2"/>
      <c r="Y40" s="2"/>
      <c r="Z40" s="2"/>
    </row>
    <row r="41" spans="1:26" x14ac:dyDescent="0.2">
      <c r="A41" t="s">
        <v>617</v>
      </c>
      <c r="B41" t="s">
        <v>1175</v>
      </c>
      <c r="C41">
        <v>0.96</v>
      </c>
      <c r="D41" t="s">
        <v>570</v>
      </c>
      <c r="E41">
        <v>4.1000000000000002E-2</v>
      </c>
      <c r="F41">
        <v>0.26</v>
      </c>
      <c r="W41" s="2"/>
      <c r="X41" s="2"/>
      <c r="Y41" s="2"/>
      <c r="Z41" s="2"/>
    </row>
    <row r="42" spans="1:26" x14ac:dyDescent="0.2">
      <c r="A42" t="s">
        <v>597</v>
      </c>
      <c r="B42" t="s">
        <v>1175</v>
      </c>
      <c r="C42">
        <v>0.93</v>
      </c>
      <c r="D42" t="s">
        <v>567</v>
      </c>
      <c r="E42">
        <v>2.0500000000000001E-2</v>
      </c>
      <c r="F42">
        <v>2E-3</v>
      </c>
      <c r="W42" s="2"/>
      <c r="X42" s="2"/>
      <c r="Y42" s="2"/>
      <c r="Z42" s="2"/>
    </row>
    <row r="43" spans="1:26" x14ac:dyDescent="0.2">
      <c r="A43" t="s">
        <v>616</v>
      </c>
      <c r="B43" t="s">
        <v>1175</v>
      </c>
      <c r="C43">
        <v>0.93</v>
      </c>
      <c r="D43" t="s">
        <v>568</v>
      </c>
      <c r="E43">
        <v>3.3599999999999998E-2</v>
      </c>
      <c r="F43">
        <v>5.3999999999999999E-2</v>
      </c>
      <c r="W43" s="2"/>
      <c r="X43" s="2"/>
      <c r="Y43" s="2"/>
      <c r="Z43" s="2"/>
    </row>
    <row r="44" spans="1:26" x14ac:dyDescent="0.2">
      <c r="A44" t="s">
        <v>598</v>
      </c>
      <c r="B44" t="s">
        <v>1175</v>
      </c>
      <c r="C44">
        <v>3.5</v>
      </c>
      <c r="D44" t="s">
        <v>565</v>
      </c>
      <c r="E44">
        <v>1.4381999999999999</v>
      </c>
      <c r="F44">
        <v>5.0000000000000001E-3</v>
      </c>
      <c r="W44" s="2"/>
      <c r="X44" s="2"/>
      <c r="Y44" s="2"/>
      <c r="Z44" s="2"/>
    </row>
    <row r="45" spans="1:26" x14ac:dyDescent="0.2">
      <c r="A45" t="s">
        <v>615</v>
      </c>
      <c r="B45" t="s">
        <v>1175</v>
      </c>
      <c r="C45">
        <v>4.8</v>
      </c>
      <c r="D45" t="s">
        <v>566</v>
      </c>
      <c r="E45">
        <v>3.1528999999999998</v>
      </c>
      <c r="F45">
        <v>7.0000000000000007E-2</v>
      </c>
      <c r="W45" s="2"/>
      <c r="X45" s="2"/>
      <c r="Y45" s="2"/>
      <c r="Z45" s="2"/>
    </row>
    <row r="46" spans="1:26" x14ac:dyDescent="0.2">
      <c r="A46" t="s">
        <v>599</v>
      </c>
      <c r="B46" t="s">
        <v>1175</v>
      </c>
      <c r="C46">
        <v>0.99</v>
      </c>
      <c r="D46" t="s">
        <v>563</v>
      </c>
      <c r="E46">
        <v>1.26E-2</v>
      </c>
      <c r="F46">
        <v>0.78900000000000003</v>
      </c>
      <c r="W46" s="2"/>
      <c r="X46" s="2"/>
      <c r="Y46" s="2"/>
      <c r="Z46" s="2"/>
    </row>
    <row r="47" spans="1:26" x14ac:dyDescent="0.2">
      <c r="A47" t="s">
        <v>614</v>
      </c>
      <c r="B47" t="s">
        <v>1175</v>
      </c>
      <c r="C47">
        <v>1.01</v>
      </c>
      <c r="D47" t="s">
        <v>564</v>
      </c>
      <c r="E47">
        <v>4.6899999999999997E-2</v>
      </c>
      <c r="F47">
        <v>0.51600000000000001</v>
      </c>
      <c r="W47" s="2"/>
      <c r="X47" s="2"/>
      <c r="Y47" s="2"/>
      <c r="Z47" s="2"/>
    </row>
    <row r="48" spans="1:26" x14ac:dyDescent="0.2">
      <c r="A48" t="s">
        <v>600</v>
      </c>
      <c r="B48" t="s">
        <v>1186</v>
      </c>
      <c r="C48">
        <v>1.1499999999999999</v>
      </c>
      <c r="D48" t="s">
        <v>561</v>
      </c>
      <c r="E48">
        <v>0.15720000000000001</v>
      </c>
      <c r="F48">
        <v>0.13</v>
      </c>
      <c r="W48" s="2"/>
      <c r="X48" s="2"/>
      <c r="Y48" s="2"/>
      <c r="Z48" s="2"/>
    </row>
    <row r="49" spans="1:26" x14ac:dyDescent="0.2">
      <c r="A49" t="s">
        <v>613</v>
      </c>
      <c r="B49" t="s">
        <v>1186</v>
      </c>
      <c r="C49">
        <v>0.97</v>
      </c>
      <c r="D49" t="s">
        <v>562</v>
      </c>
      <c r="E49">
        <v>5.3499999999999999E-2</v>
      </c>
      <c r="F49">
        <v>0.30399999999999999</v>
      </c>
      <c r="W49" s="2"/>
      <c r="X49" s="2"/>
      <c r="Y49" s="2"/>
      <c r="Z49" s="2"/>
    </row>
    <row r="50" spans="1:26" x14ac:dyDescent="0.2">
      <c r="A50" t="s">
        <v>601</v>
      </c>
      <c r="B50" t="s">
        <v>1173</v>
      </c>
      <c r="C50">
        <v>0.999</v>
      </c>
      <c r="D50" t="s">
        <v>581</v>
      </c>
      <c r="E50">
        <v>6.8999999999999999E-3</v>
      </c>
      <c r="F50">
        <v>0.83</v>
      </c>
      <c r="W50" s="2"/>
      <c r="X50" s="2"/>
      <c r="Y50" s="2"/>
      <c r="Z50" s="2"/>
    </row>
    <row r="51" spans="1:26" x14ac:dyDescent="0.2">
      <c r="A51" t="s">
        <v>612</v>
      </c>
      <c r="B51" t="s">
        <v>1173</v>
      </c>
      <c r="C51">
        <v>0.97</v>
      </c>
      <c r="D51" t="s">
        <v>582</v>
      </c>
      <c r="E51">
        <v>1.95E-2</v>
      </c>
      <c r="F51">
        <v>4.4999999999999998E-2</v>
      </c>
    </row>
    <row r="52" spans="1:26" x14ac:dyDescent="0.2">
      <c r="A52" t="s">
        <v>626</v>
      </c>
      <c r="B52" t="s">
        <v>1178</v>
      </c>
      <c r="C52">
        <v>2.96</v>
      </c>
      <c r="D52" t="s">
        <v>622</v>
      </c>
      <c r="E52" s="2">
        <v>1.367</v>
      </c>
      <c r="F52">
        <v>1.9E-2</v>
      </c>
    </row>
    <row r="53" spans="1:26" x14ac:dyDescent="0.2">
      <c r="A53" t="s">
        <v>627</v>
      </c>
      <c r="B53" t="s">
        <v>1178</v>
      </c>
      <c r="C53">
        <v>3.44</v>
      </c>
      <c r="D53" t="s">
        <v>623</v>
      </c>
      <c r="E53" s="2">
        <v>1.5684</v>
      </c>
      <c r="F53">
        <v>7.0000000000000001E-3</v>
      </c>
    </row>
    <row r="54" spans="1:26" x14ac:dyDescent="0.2">
      <c r="A54" t="s">
        <v>628</v>
      </c>
      <c r="B54" t="s">
        <v>1178</v>
      </c>
      <c r="C54">
        <v>0.86</v>
      </c>
      <c r="F54">
        <v>0.67600000000000005</v>
      </c>
    </row>
    <row r="55" spans="1:26" x14ac:dyDescent="0.2">
      <c r="A55" t="s">
        <v>629</v>
      </c>
      <c r="B55" t="s">
        <v>1173</v>
      </c>
      <c r="C55">
        <v>17.27</v>
      </c>
      <c r="D55" t="s">
        <v>624</v>
      </c>
      <c r="E55" s="2">
        <v>20.229299999999999</v>
      </c>
      <c r="F55">
        <v>1.4999999999999999E-2</v>
      </c>
    </row>
    <row r="56" spans="1:26" x14ac:dyDescent="0.2">
      <c r="A56" t="s">
        <v>630</v>
      </c>
      <c r="B56">
        <v>0.97</v>
      </c>
      <c r="C56" t="s">
        <v>625</v>
      </c>
      <c r="D56" s="2">
        <v>1.2800000000000001E-2</v>
      </c>
      <c r="E56">
        <v>3.5999999999999997E-2</v>
      </c>
    </row>
    <row r="57" spans="1:26" x14ac:dyDescent="0.2">
      <c r="A57" t="s">
        <v>631</v>
      </c>
      <c r="B57">
        <v>282.31</v>
      </c>
      <c r="E57">
        <v>1.7000000000000001E-2</v>
      </c>
    </row>
    <row r="59" spans="1:26" x14ac:dyDescent="0.2">
      <c r="M59" s="3"/>
      <c r="N59" s="3"/>
      <c r="O59" s="3"/>
      <c r="P59" s="3"/>
    </row>
    <row r="60" spans="1:26" x14ac:dyDescent="0.2">
      <c r="M60" s="2"/>
      <c r="N60" s="2"/>
      <c r="O60" s="2"/>
      <c r="P60" s="2"/>
    </row>
    <row r="61" spans="1:26" x14ac:dyDescent="0.2">
      <c r="M61" s="2"/>
      <c r="N61" s="2"/>
      <c r="O61" s="2"/>
      <c r="P61" s="2"/>
    </row>
    <row r="62" spans="1:26" x14ac:dyDescent="0.2">
      <c r="M62" s="2"/>
      <c r="N62" s="2"/>
      <c r="O62" s="2"/>
      <c r="P62" s="2"/>
    </row>
    <row r="63" spans="1:26" x14ac:dyDescent="0.2">
      <c r="M63" s="2"/>
      <c r="N63" s="2"/>
      <c r="O63" s="2"/>
      <c r="P63" s="2"/>
    </row>
  </sheetData>
  <mergeCells count="1">
    <mergeCell ref="S3:V3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3564-8C92-4205-96ED-837CB841F7F2}">
  <dimension ref="A1:K50"/>
  <sheetViews>
    <sheetView topLeftCell="A15" workbookViewId="0">
      <selection activeCell="A36" sqref="A36"/>
    </sheetView>
  </sheetViews>
  <sheetFormatPr defaultRowHeight="14.25" x14ac:dyDescent="0.2"/>
  <cols>
    <col min="1" max="1" width="37.25" customWidth="1"/>
    <col min="2" max="2" width="13.375" customWidth="1"/>
  </cols>
  <sheetData>
    <row r="1" spans="1:11" x14ac:dyDescent="0.2">
      <c r="C1" t="s">
        <v>5</v>
      </c>
      <c r="D1" t="s">
        <v>13</v>
      </c>
      <c r="E1" t="s">
        <v>687</v>
      </c>
      <c r="F1" t="s">
        <v>332</v>
      </c>
      <c r="G1" t="s">
        <v>686</v>
      </c>
      <c r="I1" s="1"/>
      <c r="J1" s="1"/>
      <c r="K1" s="3"/>
    </row>
    <row r="2" spans="1:11" x14ac:dyDescent="0.2">
      <c r="A2" t="s">
        <v>689</v>
      </c>
      <c r="B2" t="s">
        <v>1171</v>
      </c>
      <c r="C2" t="s">
        <v>215</v>
      </c>
      <c r="D2">
        <v>1</v>
      </c>
      <c r="E2" t="s">
        <v>634</v>
      </c>
      <c r="F2" s="2">
        <v>1.0200000000000001E-2</v>
      </c>
      <c r="G2">
        <v>0.3</v>
      </c>
      <c r="I2" s="4"/>
      <c r="J2" s="4"/>
    </row>
    <row r="3" spans="1:11" x14ac:dyDescent="0.2">
      <c r="A3" t="s">
        <v>689</v>
      </c>
      <c r="B3" t="s">
        <v>1171</v>
      </c>
      <c r="C3" t="s">
        <v>87</v>
      </c>
      <c r="D3">
        <v>1.03</v>
      </c>
      <c r="E3" t="s">
        <v>635</v>
      </c>
      <c r="F3" s="2">
        <v>2.5899999999999999E-2</v>
      </c>
      <c r="G3" t="s">
        <v>636</v>
      </c>
      <c r="I3" s="4"/>
      <c r="J3" s="4"/>
    </row>
    <row r="4" spans="1:11" x14ac:dyDescent="0.2">
      <c r="A4" t="s">
        <v>704</v>
      </c>
      <c r="B4" t="s">
        <v>1171</v>
      </c>
      <c r="C4" t="s">
        <v>87</v>
      </c>
      <c r="D4">
        <v>1.03</v>
      </c>
      <c r="E4" t="s">
        <v>637</v>
      </c>
      <c r="F4" s="2">
        <v>3.0800000000000001E-2</v>
      </c>
      <c r="G4" t="s">
        <v>638</v>
      </c>
      <c r="I4" s="4"/>
      <c r="J4" s="4"/>
    </row>
    <row r="5" spans="1:11" x14ac:dyDescent="0.2">
      <c r="A5" t="s">
        <v>690</v>
      </c>
      <c r="B5" t="s">
        <v>1172</v>
      </c>
      <c r="C5" t="s">
        <v>215</v>
      </c>
      <c r="D5">
        <v>1.04</v>
      </c>
      <c r="E5" t="s">
        <v>639</v>
      </c>
      <c r="F5" s="2">
        <v>0.2021</v>
      </c>
      <c r="G5">
        <v>0.78</v>
      </c>
      <c r="I5" s="4"/>
      <c r="J5" s="4"/>
    </row>
    <row r="6" spans="1:11" x14ac:dyDescent="0.2">
      <c r="A6" t="s">
        <v>690</v>
      </c>
      <c r="B6" t="s">
        <v>1172</v>
      </c>
      <c r="C6" t="s">
        <v>87</v>
      </c>
      <c r="D6">
        <v>1.1399999999999999</v>
      </c>
      <c r="E6" t="s">
        <v>640</v>
      </c>
      <c r="F6" s="2">
        <v>0.29380000000000001</v>
      </c>
      <c r="G6">
        <v>0.55000000000000004</v>
      </c>
      <c r="I6" s="4"/>
      <c r="J6" s="4"/>
    </row>
    <row r="7" spans="1:11" x14ac:dyDescent="0.2">
      <c r="A7" t="s">
        <v>705</v>
      </c>
      <c r="B7" t="s">
        <v>1172</v>
      </c>
      <c r="C7" t="s">
        <v>87</v>
      </c>
      <c r="D7">
        <v>1.34</v>
      </c>
      <c r="E7" t="s">
        <v>641</v>
      </c>
      <c r="F7" s="2">
        <v>0.42920000000000003</v>
      </c>
      <c r="G7">
        <v>0.23</v>
      </c>
      <c r="I7" s="4"/>
      <c r="J7" s="4"/>
    </row>
    <row r="8" spans="1:11" x14ac:dyDescent="0.2">
      <c r="A8" t="s">
        <v>703</v>
      </c>
      <c r="B8" t="s">
        <v>1185</v>
      </c>
      <c r="C8" t="s">
        <v>215</v>
      </c>
      <c r="D8">
        <v>1.19</v>
      </c>
      <c r="E8" t="s">
        <v>642</v>
      </c>
      <c r="F8" s="2">
        <v>0.18659999999999999</v>
      </c>
      <c r="G8">
        <v>0.28999999999999998</v>
      </c>
      <c r="I8" s="4"/>
      <c r="J8" s="4"/>
    </row>
    <row r="9" spans="1:11" x14ac:dyDescent="0.2">
      <c r="A9" t="s">
        <v>691</v>
      </c>
      <c r="B9" t="s">
        <v>1185</v>
      </c>
      <c r="C9" t="s">
        <v>87</v>
      </c>
      <c r="D9">
        <v>1.33</v>
      </c>
      <c r="E9" t="s">
        <v>643</v>
      </c>
      <c r="F9" s="2">
        <v>0.4123</v>
      </c>
      <c r="G9">
        <v>0.24</v>
      </c>
      <c r="I9" s="4"/>
      <c r="J9" s="4"/>
    </row>
    <row r="10" spans="1:11" x14ac:dyDescent="0.2">
      <c r="A10" t="s">
        <v>692</v>
      </c>
      <c r="B10" t="s">
        <v>1185</v>
      </c>
      <c r="C10" t="s">
        <v>215</v>
      </c>
      <c r="D10">
        <v>1.27</v>
      </c>
      <c r="E10" t="s">
        <v>644</v>
      </c>
      <c r="F10" s="2">
        <v>0.3211</v>
      </c>
      <c r="G10">
        <v>0.28000000000000003</v>
      </c>
      <c r="I10" s="4"/>
      <c r="J10" s="4"/>
    </row>
    <row r="11" spans="1:11" x14ac:dyDescent="0.2">
      <c r="A11" t="s">
        <v>692</v>
      </c>
      <c r="B11" t="s">
        <v>1185</v>
      </c>
      <c r="C11" t="s">
        <v>87</v>
      </c>
      <c r="D11">
        <v>1.04</v>
      </c>
      <c r="E11" t="s">
        <v>645</v>
      </c>
      <c r="F11" s="2">
        <v>0.62949999999999995</v>
      </c>
      <c r="G11">
        <v>0.89</v>
      </c>
      <c r="I11" s="4"/>
      <c r="J11" s="4"/>
    </row>
    <row r="12" spans="1:11" x14ac:dyDescent="0.2">
      <c r="A12" t="s">
        <v>693</v>
      </c>
      <c r="B12" t="s">
        <v>1185</v>
      </c>
      <c r="C12" t="s">
        <v>215</v>
      </c>
      <c r="D12">
        <v>1.18</v>
      </c>
      <c r="E12" t="s">
        <v>646</v>
      </c>
      <c r="F12" s="2">
        <v>0.20119999999999999</v>
      </c>
      <c r="G12">
        <v>0.36</v>
      </c>
      <c r="I12" s="4"/>
      <c r="J12" s="4"/>
    </row>
    <row r="13" spans="1:11" x14ac:dyDescent="0.2">
      <c r="A13" t="s">
        <v>693</v>
      </c>
      <c r="B13" t="s">
        <v>1185</v>
      </c>
      <c r="C13" t="s">
        <v>87</v>
      </c>
      <c r="D13">
        <v>1.21</v>
      </c>
      <c r="E13" t="s">
        <v>647</v>
      </c>
      <c r="F13" s="2">
        <v>0.3775</v>
      </c>
      <c r="G13">
        <v>0.45</v>
      </c>
      <c r="I13" s="4"/>
      <c r="J13" s="4"/>
    </row>
    <row r="14" spans="1:11" x14ac:dyDescent="0.2">
      <c r="A14" t="s">
        <v>694</v>
      </c>
      <c r="B14" t="s">
        <v>1196</v>
      </c>
      <c r="C14" t="s">
        <v>215</v>
      </c>
      <c r="D14">
        <v>1.19</v>
      </c>
      <c r="E14" t="s">
        <v>648</v>
      </c>
      <c r="F14" s="2">
        <v>0.24260000000000001</v>
      </c>
      <c r="G14">
        <v>0.36</v>
      </c>
      <c r="I14" s="4"/>
      <c r="J14" s="4"/>
    </row>
    <row r="15" spans="1:11" x14ac:dyDescent="0.2">
      <c r="A15" t="s">
        <v>694</v>
      </c>
      <c r="B15" t="s">
        <v>1196</v>
      </c>
      <c r="C15" t="s">
        <v>87</v>
      </c>
      <c r="D15">
        <v>1.1100000000000001</v>
      </c>
      <c r="E15" t="s">
        <v>649</v>
      </c>
      <c r="F15" s="2">
        <v>0.33510000000000001</v>
      </c>
      <c r="G15">
        <v>0.7</v>
      </c>
      <c r="I15" s="4"/>
      <c r="J15" s="4"/>
    </row>
    <row r="16" spans="1:11" x14ac:dyDescent="0.2">
      <c r="A16" t="s">
        <v>695</v>
      </c>
      <c r="B16" t="s">
        <v>1191</v>
      </c>
      <c r="C16" t="s">
        <v>215</v>
      </c>
      <c r="D16">
        <v>1.26</v>
      </c>
      <c r="E16" t="s">
        <v>650</v>
      </c>
      <c r="F16" s="2">
        <v>0.23669999999999999</v>
      </c>
      <c r="G16">
        <v>0.17</v>
      </c>
      <c r="I16" s="4"/>
      <c r="J16" s="4"/>
    </row>
    <row r="17" spans="1:10" x14ac:dyDescent="0.2">
      <c r="A17" t="s">
        <v>695</v>
      </c>
      <c r="B17" t="s">
        <v>1191</v>
      </c>
      <c r="C17" t="s">
        <v>87</v>
      </c>
      <c r="D17">
        <v>1.17</v>
      </c>
      <c r="E17" t="s">
        <v>651</v>
      </c>
      <c r="F17" s="2">
        <v>0.34339999999999998</v>
      </c>
      <c r="G17">
        <v>0.52</v>
      </c>
      <c r="I17" s="4"/>
      <c r="J17" s="4"/>
    </row>
    <row r="18" spans="1:10" x14ac:dyDescent="0.2">
      <c r="A18" t="s">
        <v>696</v>
      </c>
      <c r="B18" t="s">
        <v>1185</v>
      </c>
      <c r="C18" t="s">
        <v>215</v>
      </c>
      <c r="D18">
        <v>1.0900000000000001</v>
      </c>
      <c r="E18" t="s">
        <v>652</v>
      </c>
      <c r="F18" s="2">
        <v>0.18740000000000001</v>
      </c>
      <c r="G18">
        <v>0.7</v>
      </c>
      <c r="I18" s="4"/>
      <c r="J18" s="4"/>
    </row>
    <row r="19" spans="1:10" x14ac:dyDescent="0.2">
      <c r="A19" t="s">
        <v>696</v>
      </c>
      <c r="B19" t="s">
        <v>1185</v>
      </c>
      <c r="C19" t="s">
        <v>87</v>
      </c>
      <c r="D19">
        <v>1.08</v>
      </c>
      <c r="E19" t="s">
        <v>653</v>
      </c>
      <c r="F19" s="2">
        <v>0.38529999999999998</v>
      </c>
      <c r="G19">
        <v>0.81</v>
      </c>
      <c r="I19" s="4"/>
      <c r="J19" s="4"/>
    </row>
    <row r="20" spans="1:10" x14ac:dyDescent="0.2">
      <c r="A20" t="s">
        <v>697</v>
      </c>
      <c r="B20" t="s">
        <v>223</v>
      </c>
      <c r="C20" t="s">
        <v>215</v>
      </c>
      <c r="D20">
        <v>1.49</v>
      </c>
      <c r="E20" t="s">
        <v>654</v>
      </c>
      <c r="F20" s="2">
        <v>0.2772</v>
      </c>
      <c r="G20" t="s">
        <v>655</v>
      </c>
      <c r="I20" s="4"/>
      <c r="J20" s="4"/>
    </row>
    <row r="21" spans="1:10" x14ac:dyDescent="0.2">
      <c r="A21" t="s">
        <v>706</v>
      </c>
      <c r="B21" t="s">
        <v>223</v>
      </c>
      <c r="C21" t="s">
        <v>215</v>
      </c>
      <c r="D21">
        <v>1.33</v>
      </c>
      <c r="E21" t="s">
        <v>656</v>
      </c>
      <c r="F21" s="2">
        <v>0.27710000000000001</v>
      </c>
      <c r="G21" t="s">
        <v>657</v>
      </c>
      <c r="I21" s="4"/>
      <c r="J21" s="4"/>
    </row>
    <row r="22" spans="1:10" x14ac:dyDescent="0.2">
      <c r="A22" t="s">
        <v>697</v>
      </c>
      <c r="B22" t="s">
        <v>223</v>
      </c>
      <c r="C22" t="s">
        <v>87</v>
      </c>
      <c r="D22">
        <v>1.78</v>
      </c>
      <c r="E22" t="s">
        <v>658</v>
      </c>
      <c r="F22" s="2">
        <v>0.41930000000000001</v>
      </c>
      <c r="G22" t="s">
        <v>655</v>
      </c>
      <c r="I22" s="4"/>
      <c r="J22" s="4"/>
    </row>
    <row r="23" spans="1:10" x14ac:dyDescent="0.2">
      <c r="A23" t="s">
        <v>706</v>
      </c>
      <c r="B23" t="s">
        <v>223</v>
      </c>
      <c r="C23" t="s">
        <v>87</v>
      </c>
      <c r="D23">
        <v>1.56</v>
      </c>
      <c r="E23" t="s">
        <v>659</v>
      </c>
      <c r="F23" s="2">
        <v>0.42409999999999998</v>
      </c>
      <c r="G23" t="s">
        <v>660</v>
      </c>
      <c r="I23" s="4"/>
      <c r="J23" s="4"/>
    </row>
    <row r="24" spans="1:10" x14ac:dyDescent="0.2">
      <c r="A24" t="s">
        <v>698</v>
      </c>
      <c r="B24" t="s">
        <v>1178</v>
      </c>
      <c r="C24" t="s">
        <v>215</v>
      </c>
      <c r="D24">
        <v>2.1800000000000002</v>
      </c>
      <c r="E24" t="s">
        <v>661</v>
      </c>
      <c r="F24" s="2">
        <v>0.36849999999999999</v>
      </c>
      <c r="G24" t="s">
        <v>662</v>
      </c>
      <c r="I24" s="4"/>
      <c r="J24" s="4"/>
    </row>
    <row r="25" spans="1:10" x14ac:dyDescent="0.2">
      <c r="A25" t="s">
        <v>707</v>
      </c>
      <c r="B25" t="s">
        <v>1175</v>
      </c>
      <c r="C25" t="s">
        <v>215</v>
      </c>
      <c r="D25">
        <v>1.19</v>
      </c>
      <c r="E25" t="s">
        <v>663</v>
      </c>
      <c r="F25" s="2">
        <v>8.3299999999999999E-2</v>
      </c>
      <c r="G25" t="s">
        <v>664</v>
      </c>
      <c r="I25" s="4"/>
      <c r="J25" s="4"/>
    </row>
    <row r="26" spans="1:10" x14ac:dyDescent="0.2">
      <c r="A26" t="s">
        <v>698</v>
      </c>
      <c r="B26" t="s">
        <v>1175</v>
      </c>
      <c r="C26" t="s">
        <v>87</v>
      </c>
      <c r="D26">
        <v>2.56</v>
      </c>
      <c r="E26" t="s">
        <v>665</v>
      </c>
      <c r="F26" s="2">
        <v>0.93320000000000003</v>
      </c>
      <c r="G26" t="s">
        <v>664</v>
      </c>
      <c r="I26" s="4"/>
      <c r="J26" s="4"/>
    </row>
    <row r="27" spans="1:10" x14ac:dyDescent="0.2">
      <c r="A27" t="s">
        <v>707</v>
      </c>
      <c r="B27" t="s">
        <v>1175</v>
      </c>
      <c r="C27" t="s">
        <v>87</v>
      </c>
      <c r="D27">
        <v>1.74</v>
      </c>
      <c r="E27" t="s">
        <v>666</v>
      </c>
      <c r="F27" s="2">
        <v>0.46039999999999998</v>
      </c>
      <c r="G27" t="s">
        <v>636</v>
      </c>
      <c r="I27" s="4"/>
      <c r="J27" s="4"/>
    </row>
    <row r="28" spans="1:10" x14ac:dyDescent="0.2">
      <c r="A28" t="s">
        <v>699</v>
      </c>
      <c r="B28" t="s">
        <v>1185</v>
      </c>
      <c r="C28" t="s">
        <v>215</v>
      </c>
      <c r="D28">
        <v>1.62</v>
      </c>
      <c r="E28" t="s">
        <v>667</v>
      </c>
      <c r="F28" s="2">
        <v>0.42520000000000002</v>
      </c>
      <c r="G28" t="s">
        <v>636</v>
      </c>
      <c r="I28" s="4"/>
      <c r="J28" s="4"/>
    </row>
    <row r="29" spans="1:10" x14ac:dyDescent="0.2">
      <c r="A29" t="s">
        <v>708</v>
      </c>
      <c r="B29" t="s">
        <v>1185</v>
      </c>
      <c r="C29" t="s">
        <v>215</v>
      </c>
      <c r="D29">
        <v>1.18</v>
      </c>
      <c r="E29" t="s">
        <v>668</v>
      </c>
      <c r="F29" s="2">
        <v>0.35239999999999999</v>
      </c>
      <c r="G29">
        <v>0.54</v>
      </c>
      <c r="I29" s="4"/>
      <c r="J29" s="4"/>
    </row>
    <row r="30" spans="1:10" x14ac:dyDescent="0.2">
      <c r="A30" t="s">
        <v>699</v>
      </c>
      <c r="B30" t="s">
        <v>1185</v>
      </c>
      <c r="C30" t="s">
        <v>87</v>
      </c>
      <c r="D30">
        <v>1.77</v>
      </c>
      <c r="E30" t="s">
        <v>669</v>
      </c>
      <c r="F30" s="2">
        <v>0.68889999999999996</v>
      </c>
      <c r="G30" t="s">
        <v>657</v>
      </c>
      <c r="I30" s="4"/>
      <c r="J30" s="4"/>
    </row>
    <row r="31" spans="1:10" x14ac:dyDescent="0.2">
      <c r="A31" t="s">
        <v>700</v>
      </c>
      <c r="B31" t="s">
        <v>1191</v>
      </c>
      <c r="C31" t="s">
        <v>215</v>
      </c>
      <c r="D31">
        <v>1.32</v>
      </c>
      <c r="E31" t="s">
        <v>670</v>
      </c>
      <c r="F31" s="2">
        <v>0.24460000000000001</v>
      </c>
      <c r="G31">
        <v>0.14000000000000001</v>
      </c>
      <c r="I31" s="4"/>
      <c r="J31" s="4"/>
    </row>
    <row r="32" spans="1:10" x14ac:dyDescent="0.2">
      <c r="A32" t="s">
        <v>700</v>
      </c>
      <c r="B32" t="s">
        <v>1191</v>
      </c>
      <c r="C32" t="s">
        <v>87</v>
      </c>
      <c r="D32">
        <v>1.03</v>
      </c>
      <c r="E32" t="s">
        <v>671</v>
      </c>
      <c r="F32" s="2">
        <v>0.373</v>
      </c>
      <c r="G32">
        <v>0.89</v>
      </c>
      <c r="I32" s="4"/>
      <c r="J32" s="4"/>
    </row>
    <row r="33" spans="1:10" x14ac:dyDescent="0.2">
      <c r="A33" t="s">
        <v>672</v>
      </c>
      <c r="B33" t="s">
        <v>1175</v>
      </c>
      <c r="C33" t="s">
        <v>215</v>
      </c>
      <c r="D33">
        <v>1</v>
      </c>
      <c r="E33" t="s">
        <v>634</v>
      </c>
      <c r="F33" s="2">
        <v>1.0200000000000001E-2</v>
      </c>
      <c r="G33">
        <v>0.56000000000000005</v>
      </c>
      <c r="I33" s="4"/>
      <c r="J33" s="4"/>
    </row>
    <row r="34" spans="1:10" x14ac:dyDescent="0.2">
      <c r="A34" t="s">
        <v>672</v>
      </c>
      <c r="B34" t="s">
        <v>1175</v>
      </c>
      <c r="C34" t="s">
        <v>87</v>
      </c>
      <c r="D34">
        <v>1</v>
      </c>
      <c r="E34" t="s">
        <v>634</v>
      </c>
      <c r="F34" s="2">
        <v>1.0200000000000001E-2</v>
      </c>
      <c r="G34">
        <v>0.36</v>
      </c>
      <c r="I34" s="4"/>
      <c r="J34" s="4"/>
    </row>
    <row r="35" spans="1:10" x14ac:dyDescent="0.2">
      <c r="A35" t="s">
        <v>673</v>
      </c>
      <c r="B35" t="s">
        <v>1175</v>
      </c>
      <c r="C35" t="s">
        <v>215</v>
      </c>
      <c r="D35">
        <v>1.03</v>
      </c>
      <c r="E35" t="s">
        <v>637</v>
      </c>
      <c r="F35" s="2">
        <v>3.0800000000000001E-2</v>
      </c>
      <c r="G35" t="s">
        <v>636</v>
      </c>
      <c r="I35" s="4"/>
      <c r="J35" s="4"/>
    </row>
    <row r="36" spans="1:10" x14ac:dyDescent="0.2">
      <c r="A36" t="s">
        <v>709</v>
      </c>
      <c r="B36" t="s">
        <v>1175</v>
      </c>
      <c r="C36" t="s">
        <v>215</v>
      </c>
      <c r="D36">
        <v>1.01</v>
      </c>
      <c r="E36" t="s">
        <v>674</v>
      </c>
      <c r="F36" s="2">
        <v>6.1199999999999997E-2</v>
      </c>
      <c r="G36">
        <v>0.31</v>
      </c>
      <c r="I36" s="4"/>
      <c r="J36" s="4"/>
    </row>
    <row r="37" spans="1:10" x14ac:dyDescent="0.2">
      <c r="A37" t="s">
        <v>712</v>
      </c>
      <c r="B37" t="s">
        <v>1175</v>
      </c>
      <c r="C37" t="s">
        <v>87</v>
      </c>
      <c r="D37">
        <v>1.05</v>
      </c>
      <c r="E37" t="s">
        <v>675</v>
      </c>
      <c r="F37" s="2">
        <v>5.3900000000000003E-2</v>
      </c>
      <c r="G37" t="s">
        <v>655</v>
      </c>
      <c r="I37" s="4"/>
      <c r="J37" s="4"/>
    </row>
    <row r="38" spans="1:10" x14ac:dyDescent="0.2">
      <c r="A38" t="s">
        <v>709</v>
      </c>
      <c r="B38" t="s">
        <v>1175</v>
      </c>
      <c r="C38" t="s">
        <v>87</v>
      </c>
      <c r="D38">
        <v>1.03</v>
      </c>
      <c r="E38" t="s">
        <v>676</v>
      </c>
      <c r="F38" s="2">
        <v>6.5000000000000002E-2</v>
      </c>
      <c r="G38">
        <v>0.14000000000000001</v>
      </c>
      <c r="I38" s="4"/>
      <c r="J38" s="4"/>
    </row>
    <row r="39" spans="1:10" x14ac:dyDescent="0.2">
      <c r="A39" t="s">
        <v>677</v>
      </c>
      <c r="B39" t="s">
        <v>1175</v>
      </c>
      <c r="C39" t="s">
        <v>215</v>
      </c>
      <c r="D39">
        <v>1</v>
      </c>
      <c r="E39" t="s">
        <v>634</v>
      </c>
      <c r="F39" s="2">
        <v>1.0200000000000001E-2</v>
      </c>
      <c r="G39">
        <v>0.41</v>
      </c>
      <c r="I39" s="4"/>
      <c r="J39" s="4"/>
    </row>
    <row r="40" spans="1:10" x14ac:dyDescent="0.2">
      <c r="A40" t="s">
        <v>677</v>
      </c>
      <c r="B40" t="s">
        <v>1175</v>
      </c>
      <c r="C40" t="s">
        <v>87</v>
      </c>
      <c r="D40">
        <v>1.01</v>
      </c>
      <c r="E40" t="s">
        <v>674</v>
      </c>
      <c r="F40" s="2">
        <v>6.1199999999999997E-2</v>
      </c>
      <c r="G40">
        <v>0.24</v>
      </c>
      <c r="I40" s="4"/>
      <c r="J40" s="4"/>
    </row>
    <row r="41" spans="1:10" x14ac:dyDescent="0.2">
      <c r="A41" t="s">
        <v>701</v>
      </c>
      <c r="B41" t="s">
        <v>1181</v>
      </c>
      <c r="C41" t="s">
        <v>215</v>
      </c>
      <c r="D41">
        <v>3.27</v>
      </c>
      <c r="E41" t="s">
        <v>678</v>
      </c>
      <c r="F41" s="2">
        <v>0.56810000000000005</v>
      </c>
      <c r="G41" t="s">
        <v>662</v>
      </c>
      <c r="I41" s="4"/>
      <c r="J41" s="4"/>
    </row>
    <row r="42" spans="1:10" x14ac:dyDescent="0.2">
      <c r="A42" t="s">
        <v>701</v>
      </c>
      <c r="B42" t="s">
        <v>1181</v>
      </c>
      <c r="C42" t="s">
        <v>87</v>
      </c>
      <c r="D42">
        <v>4.45</v>
      </c>
      <c r="E42" t="s">
        <v>679</v>
      </c>
      <c r="F42" s="2">
        <v>1.0975999999999999</v>
      </c>
      <c r="G42" t="s">
        <v>662</v>
      </c>
      <c r="I42" s="4"/>
      <c r="J42" s="4"/>
    </row>
    <row r="43" spans="1:10" x14ac:dyDescent="0.2">
      <c r="A43" t="s">
        <v>702</v>
      </c>
      <c r="B43" t="s">
        <v>1181</v>
      </c>
      <c r="C43" t="s">
        <v>215</v>
      </c>
      <c r="D43">
        <v>3.96</v>
      </c>
      <c r="E43" t="s">
        <v>680</v>
      </c>
      <c r="F43" s="2">
        <v>0.94850000000000001</v>
      </c>
      <c r="G43" t="s">
        <v>662</v>
      </c>
      <c r="I43" s="4"/>
      <c r="J43" s="4"/>
    </row>
    <row r="44" spans="1:10" x14ac:dyDescent="0.2">
      <c r="A44" t="s">
        <v>710</v>
      </c>
      <c r="B44" t="s">
        <v>1181</v>
      </c>
      <c r="C44" t="s">
        <v>215</v>
      </c>
      <c r="D44">
        <v>2.88</v>
      </c>
      <c r="E44" t="s">
        <v>681</v>
      </c>
      <c r="F44" s="2">
        <v>0.49080000000000001</v>
      </c>
      <c r="G44" t="s">
        <v>662</v>
      </c>
      <c r="I44" s="4"/>
      <c r="J44" s="4"/>
    </row>
    <row r="45" spans="1:10" x14ac:dyDescent="0.2">
      <c r="A45" t="s">
        <v>702</v>
      </c>
      <c r="B45" t="s">
        <v>1181</v>
      </c>
      <c r="C45" t="s">
        <v>87</v>
      </c>
      <c r="D45">
        <v>7.05</v>
      </c>
      <c r="E45" t="s">
        <v>682</v>
      </c>
      <c r="F45" s="2">
        <v>2.3910999999999998</v>
      </c>
      <c r="G45" t="s">
        <v>662</v>
      </c>
      <c r="I45" s="4"/>
      <c r="J45" s="4"/>
    </row>
    <row r="46" spans="1:10" x14ac:dyDescent="0.2">
      <c r="A46" t="s">
        <v>710</v>
      </c>
      <c r="B46" t="s">
        <v>1181</v>
      </c>
      <c r="C46" t="s">
        <v>87</v>
      </c>
      <c r="D46">
        <v>3.55</v>
      </c>
      <c r="E46" t="s">
        <v>683</v>
      </c>
      <c r="F46" s="2">
        <v>0.82320000000000004</v>
      </c>
      <c r="G46" t="s">
        <v>662</v>
      </c>
      <c r="I46" s="4"/>
      <c r="J46" s="4"/>
    </row>
    <row r="47" spans="1:10" x14ac:dyDescent="0.2">
      <c r="A47" t="s">
        <v>711</v>
      </c>
      <c r="B47" t="s">
        <v>1181</v>
      </c>
      <c r="C47" t="s">
        <v>215</v>
      </c>
      <c r="D47">
        <v>1.9</v>
      </c>
      <c r="E47" t="s">
        <v>716</v>
      </c>
      <c r="F47" s="2">
        <v>0.47360000000000002</v>
      </c>
      <c r="G47" t="s">
        <v>720</v>
      </c>
      <c r="I47" s="4"/>
      <c r="J47" s="4"/>
    </row>
    <row r="48" spans="1:10" x14ac:dyDescent="0.2">
      <c r="A48" t="s">
        <v>714</v>
      </c>
      <c r="B48" t="s">
        <v>1181</v>
      </c>
      <c r="C48" t="s">
        <v>87</v>
      </c>
      <c r="D48">
        <v>2.42</v>
      </c>
      <c r="E48" t="s">
        <v>717</v>
      </c>
      <c r="F48" s="2">
        <v>1.0848</v>
      </c>
      <c r="G48" t="s">
        <v>720</v>
      </c>
      <c r="I48" s="4"/>
      <c r="J48" s="4"/>
    </row>
    <row r="49" spans="1:10" x14ac:dyDescent="0.2">
      <c r="A49" s="17" t="s">
        <v>713</v>
      </c>
      <c r="B49" t="s">
        <v>1181</v>
      </c>
      <c r="C49" t="s">
        <v>215</v>
      </c>
      <c r="D49">
        <v>4.91</v>
      </c>
      <c r="E49" t="s">
        <v>718</v>
      </c>
      <c r="F49" s="2">
        <v>1.5622</v>
      </c>
      <c r="G49" t="s">
        <v>720</v>
      </c>
      <c r="I49" s="4"/>
      <c r="J49" s="4"/>
    </row>
    <row r="50" spans="1:10" x14ac:dyDescent="0.2">
      <c r="A50" s="17" t="s">
        <v>715</v>
      </c>
      <c r="B50" t="s">
        <v>1181</v>
      </c>
      <c r="C50" t="s">
        <v>87</v>
      </c>
      <c r="D50">
        <v>7.97</v>
      </c>
      <c r="E50" t="s">
        <v>719</v>
      </c>
      <c r="F50" s="2">
        <v>2.9780000000000002</v>
      </c>
      <c r="G50" t="s">
        <v>720</v>
      </c>
      <c r="I50" s="4"/>
      <c r="J50" s="4"/>
    </row>
  </sheetData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A7F8-0F1B-4B05-AEF7-DE6614F5C9F0}">
  <dimension ref="A1:H175"/>
  <sheetViews>
    <sheetView workbookViewId="0">
      <selection activeCell="B39" sqref="B39"/>
    </sheetView>
  </sheetViews>
  <sheetFormatPr defaultRowHeight="14.25" x14ac:dyDescent="0.2"/>
  <cols>
    <col min="1" max="1" width="59.375" customWidth="1"/>
    <col min="2" max="2" width="9.5" customWidth="1"/>
    <col min="3" max="3" width="13.625" customWidth="1"/>
    <col min="4" max="4" width="6.375" customWidth="1"/>
    <col min="5" max="5" width="11.25" customWidth="1"/>
    <col min="6" max="6" width="11.375" customWidth="1"/>
    <col min="7" max="7" width="9" style="21"/>
  </cols>
  <sheetData>
    <row r="1" spans="1:8" x14ac:dyDescent="0.2">
      <c r="A1" s="11" t="s">
        <v>3</v>
      </c>
      <c r="B1" t="s">
        <v>1066</v>
      </c>
      <c r="C1" t="s">
        <v>5</v>
      </c>
      <c r="D1" t="s">
        <v>12</v>
      </c>
      <c r="E1" t="s">
        <v>1070</v>
      </c>
      <c r="F1" t="s">
        <v>1071</v>
      </c>
      <c r="G1" s="21" t="s">
        <v>332</v>
      </c>
    </row>
    <row r="2" spans="1:8" x14ac:dyDescent="0.2">
      <c r="A2" t="s">
        <v>1053</v>
      </c>
      <c r="B2" t="s">
        <v>1067</v>
      </c>
      <c r="C2" t="s">
        <v>1069</v>
      </c>
      <c r="D2">
        <v>0.74</v>
      </c>
      <c r="E2">
        <v>0.56000000000000005</v>
      </c>
      <c r="F2">
        <v>0.99</v>
      </c>
      <c r="G2" s="21">
        <f>D2 * (LN(F2)-LN(E2))/(2*1.96)</f>
        <v>0.10755827498866991</v>
      </c>
      <c r="H2" t="s">
        <v>1174</v>
      </c>
    </row>
    <row r="3" spans="1:8" x14ac:dyDescent="0.2">
      <c r="A3" t="s">
        <v>1054</v>
      </c>
      <c r="B3" t="s">
        <v>1067</v>
      </c>
      <c r="C3" t="s">
        <v>1069</v>
      </c>
      <c r="D3">
        <v>0.81</v>
      </c>
      <c r="E3">
        <v>0.4</v>
      </c>
      <c r="F3">
        <v>1.63</v>
      </c>
      <c r="G3" s="21">
        <f t="shared" ref="G3:G66" si="0">D3 * (LN(F3)-LN(E3))/(2*1.96)</f>
        <v>0.29029216959724208</v>
      </c>
      <c r="H3" t="s">
        <v>1197</v>
      </c>
    </row>
    <row r="4" spans="1:8" x14ac:dyDescent="0.2">
      <c r="A4" t="s">
        <v>1055</v>
      </c>
      <c r="B4" t="s">
        <v>1067</v>
      </c>
      <c r="C4" t="s">
        <v>1069</v>
      </c>
      <c r="D4">
        <v>1.35</v>
      </c>
      <c r="E4">
        <v>1.04</v>
      </c>
      <c r="F4">
        <v>1.74</v>
      </c>
      <c r="G4" s="21">
        <f t="shared" si="0"/>
        <v>0.17724411737213291</v>
      </c>
    </row>
    <row r="5" spans="1:8" x14ac:dyDescent="0.2">
      <c r="A5" t="s">
        <v>1056</v>
      </c>
      <c r="B5" t="s">
        <v>1067</v>
      </c>
      <c r="C5" t="s">
        <v>1069</v>
      </c>
      <c r="D5">
        <v>1.36</v>
      </c>
      <c r="E5">
        <v>0.97</v>
      </c>
      <c r="F5">
        <v>1.9</v>
      </c>
      <c r="G5" s="21">
        <f t="shared" si="0"/>
        <v>0.23325148147287256</v>
      </c>
    </row>
    <row r="6" spans="1:8" x14ac:dyDescent="0.2">
      <c r="A6" t="s">
        <v>1065</v>
      </c>
      <c r="B6" t="s">
        <v>1067</v>
      </c>
      <c r="C6" t="s">
        <v>1069</v>
      </c>
      <c r="D6">
        <v>1.38</v>
      </c>
      <c r="E6">
        <v>1.06</v>
      </c>
      <c r="F6">
        <v>1.78</v>
      </c>
      <c r="G6" s="21">
        <f t="shared" si="0"/>
        <v>0.18247840549194511</v>
      </c>
    </row>
    <row r="7" spans="1:8" x14ac:dyDescent="0.2">
      <c r="A7" t="s">
        <v>1057</v>
      </c>
      <c r="B7" t="s">
        <v>1067</v>
      </c>
      <c r="C7" t="s">
        <v>1069</v>
      </c>
      <c r="D7">
        <v>1.39</v>
      </c>
      <c r="E7">
        <v>0.94</v>
      </c>
      <c r="F7">
        <v>2.06</v>
      </c>
      <c r="G7" s="21">
        <f t="shared" si="0"/>
        <v>0.27820615491382966</v>
      </c>
    </row>
    <row r="8" spans="1:8" x14ac:dyDescent="0.2">
      <c r="A8" t="s">
        <v>1058</v>
      </c>
      <c r="B8" t="s">
        <v>1067</v>
      </c>
      <c r="C8" t="s">
        <v>1069</v>
      </c>
      <c r="D8">
        <v>1.41</v>
      </c>
      <c r="E8">
        <v>1.04</v>
      </c>
      <c r="F8">
        <v>1.9</v>
      </c>
      <c r="G8" s="21">
        <f t="shared" si="0"/>
        <v>0.21676346274411984</v>
      </c>
    </row>
    <row r="9" spans="1:8" x14ac:dyDescent="0.2">
      <c r="A9" t="s">
        <v>1059</v>
      </c>
      <c r="B9" t="s">
        <v>1067</v>
      </c>
      <c r="C9" t="s">
        <v>1069</v>
      </c>
      <c r="D9">
        <v>1.53</v>
      </c>
      <c r="E9">
        <v>0.98</v>
      </c>
      <c r="F9">
        <v>2.38</v>
      </c>
      <c r="G9" s="21">
        <f t="shared" si="0"/>
        <v>0.34631986947739318</v>
      </c>
    </row>
    <row r="10" spans="1:8" x14ac:dyDescent="0.2">
      <c r="A10" t="s">
        <v>1060</v>
      </c>
      <c r="B10" t="s">
        <v>1067</v>
      </c>
      <c r="C10" t="s">
        <v>1069</v>
      </c>
      <c r="D10">
        <v>1.58</v>
      </c>
      <c r="E10">
        <v>0.99</v>
      </c>
      <c r="F10">
        <v>2.54</v>
      </c>
      <c r="G10" s="21">
        <f t="shared" si="0"/>
        <v>0.37977009660118266</v>
      </c>
    </row>
    <row r="11" spans="1:8" x14ac:dyDescent="0.2">
      <c r="A11" t="s">
        <v>1061</v>
      </c>
      <c r="B11" t="s">
        <v>1067</v>
      </c>
      <c r="C11" t="s">
        <v>1069</v>
      </c>
      <c r="D11">
        <v>1.59</v>
      </c>
      <c r="E11">
        <v>1.31</v>
      </c>
      <c r="F11">
        <v>1.93</v>
      </c>
      <c r="G11" s="21">
        <f t="shared" si="0"/>
        <v>0.15717185114003496</v>
      </c>
    </row>
    <row r="12" spans="1:8" x14ac:dyDescent="0.2">
      <c r="A12" t="s">
        <v>1062</v>
      </c>
      <c r="B12" t="s">
        <v>1067</v>
      </c>
      <c r="C12" t="s">
        <v>1069</v>
      </c>
      <c r="D12">
        <v>1.63</v>
      </c>
      <c r="E12">
        <v>0.98</v>
      </c>
      <c r="F12">
        <v>2.72</v>
      </c>
      <c r="G12" s="21">
        <f t="shared" si="0"/>
        <v>0.42447968822179677</v>
      </c>
    </row>
    <row r="13" spans="1:8" x14ac:dyDescent="0.2">
      <c r="A13" t="s">
        <v>1063</v>
      </c>
      <c r="B13" t="s">
        <v>1067</v>
      </c>
      <c r="C13" t="s">
        <v>1069</v>
      </c>
      <c r="D13">
        <v>1.84</v>
      </c>
      <c r="E13">
        <v>0.99</v>
      </c>
      <c r="F13">
        <v>3.43</v>
      </c>
      <c r="G13" s="21">
        <f t="shared" si="0"/>
        <v>0.58326619860655204</v>
      </c>
    </row>
    <row r="14" spans="1:8" x14ac:dyDescent="0.2">
      <c r="A14" t="s">
        <v>1064</v>
      </c>
      <c r="B14" t="s">
        <v>1067</v>
      </c>
      <c r="C14" t="s">
        <v>1069</v>
      </c>
      <c r="D14">
        <v>2.11</v>
      </c>
      <c r="E14">
        <v>1.44</v>
      </c>
      <c r="F14">
        <v>3.1</v>
      </c>
      <c r="G14" s="21">
        <f t="shared" si="0"/>
        <v>0.41271976672850347</v>
      </c>
    </row>
    <row r="15" spans="1:8" x14ac:dyDescent="0.2">
      <c r="A15" t="s">
        <v>1052</v>
      </c>
      <c r="B15" t="s">
        <v>1068</v>
      </c>
      <c r="C15" t="s">
        <v>1069</v>
      </c>
      <c r="D15">
        <v>0.67</v>
      </c>
      <c r="E15">
        <v>0.42</v>
      </c>
      <c r="F15">
        <v>1.06</v>
      </c>
      <c r="G15" s="21">
        <f t="shared" si="0"/>
        <v>0.1582310073482725</v>
      </c>
    </row>
    <row r="16" spans="1:8" x14ac:dyDescent="0.2">
      <c r="A16" t="s">
        <v>1054</v>
      </c>
      <c r="B16" t="s">
        <v>1068</v>
      </c>
      <c r="C16" t="s">
        <v>1069</v>
      </c>
      <c r="D16">
        <v>0.71</v>
      </c>
      <c r="E16">
        <v>0.4</v>
      </c>
      <c r="F16">
        <v>1.27</v>
      </c>
      <c r="G16" s="21">
        <f t="shared" si="0"/>
        <v>0.2092521476950778</v>
      </c>
    </row>
    <row r="17" spans="1:7" x14ac:dyDescent="0.2">
      <c r="A17" t="s">
        <v>1056</v>
      </c>
      <c r="B17" t="s">
        <v>1068</v>
      </c>
      <c r="C17" t="s">
        <v>1069</v>
      </c>
      <c r="D17">
        <v>0.81</v>
      </c>
      <c r="E17">
        <v>0.54</v>
      </c>
      <c r="F17">
        <v>1.21</v>
      </c>
      <c r="G17" s="21">
        <f t="shared" si="0"/>
        <v>0.16671256740211682</v>
      </c>
    </row>
    <row r="18" spans="1:7" x14ac:dyDescent="0.2">
      <c r="A18" t="s">
        <v>1055</v>
      </c>
      <c r="B18" t="s">
        <v>1068</v>
      </c>
      <c r="C18" t="s">
        <v>1069</v>
      </c>
      <c r="D18">
        <v>0.94</v>
      </c>
      <c r="E18">
        <v>0.67</v>
      </c>
      <c r="F18">
        <v>1.32</v>
      </c>
      <c r="G18" s="21">
        <f t="shared" si="0"/>
        <v>0.16260784311318383</v>
      </c>
    </row>
    <row r="19" spans="1:7" x14ac:dyDescent="0.2">
      <c r="A19" t="s">
        <v>1064</v>
      </c>
      <c r="B19" t="s">
        <v>1068</v>
      </c>
      <c r="C19" t="s">
        <v>1069</v>
      </c>
      <c r="D19">
        <v>1.03</v>
      </c>
      <c r="E19">
        <v>0.68</v>
      </c>
      <c r="F19">
        <v>1.58</v>
      </c>
      <c r="G19" s="21">
        <f t="shared" si="0"/>
        <v>0.22152549685877193</v>
      </c>
    </row>
    <row r="20" spans="1:7" x14ac:dyDescent="0.2">
      <c r="A20" t="s">
        <v>1059</v>
      </c>
      <c r="B20" t="s">
        <v>1068</v>
      </c>
      <c r="C20" t="s">
        <v>1069</v>
      </c>
      <c r="D20">
        <v>1.1000000000000001</v>
      </c>
      <c r="E20">
        <v>0.77</v>
      </c>
      <c r="F20">
        <v>1.59</v>
      </c>
      <c r="G20" s="21">
        <f t="shared" si="0"/>
        <v>0.20347159653142924</v>
      </c>
    </row>
    <row r="21" spans="1:7" x14ac:dyDescent="0.2">
      <c r="A21" t="s">
        <v>1061</v>
      </c>
      <c r="B21" t="s">
        <v>1068</v>
      </c>
      <c r="C21" t="s">
        <v>1069</v>
      </c>
      <c r="D21">
        <v>1.1399999999999999</v>
      </c>
      <c r="E21">
        <v>0.93</v>
      </c>
      <c r="F21">
        <v>1.39</v>
      </c>
      <c r="G21" s="21">
        <f t="shared" si="0"/>
        <v>0.11687164836078485</v>
      </c>
    </row>
    <row r="22" spans="1:7" x14ac:dyDescent="0.2">
      <c r="A22" t="s">
        <v>1057</v>
      </c>
      <c r="B22" t="s">
        <v>1068</v>
      </c>
      <c r="C22" t="s">
        <v>1069</v>
      </c>
      <c r="D22">
        <v>1.22</v>
      </c>
      <c r="E22">
        <v>0.69</v>
      </c>
      <c r="F22">
        <v>2.15</v>
      </c>
      <c r="G22" s="21">
        <f t="shared" si="0"/>
        <v>0.35371644354772758</v>
      </c>
    </row>
    <row r="23" spans="1:7" x14ac:dyDescent="0.2">
      <c r="A23" t="s">
        <v>1058</v>
      </c>
      <c r="B23" t="s">
        <v>1068</v>
      </c>
      <c r="C23" t="s">
        <v>1069</v>
      </c>
      <c r="D23">
        <v>1.27</v>
      </c>
      <c r="E23">
        <v>0.87</v>
      </c>
      <c r="F23">
        <v>1.85</v>
      </c>
      <c r="G23" s="21">
        <f t="shared" si="0"/>
        <v>0.24442565998932433</v>
      </c>
    </row>
    <row r="24" spans="1:7" x14ac:dyDescent="0.2">
      <c r="A24" t="s">
        <v>1060</v>
      </c>
      <c r="B24" t="s">
        <v>1068</v>
      </c>
      <c r="C24" t="s">
        <v>1069</v>
      </c>
      <c r="D24">
        <v>1.28</v>
      </c>
      <c r="E24">
        <v>0.83</v>
      </c>
      <c r="F24">
        <v>1.97</v>
      </c>
      <c r="G24" s="21">
        <f t="shared" si="0"/>
        <v>0.28224101908290311</v>
      </c>
    </row>
    <row r="25" spans="1:7" x14ac:dyDescent="0.2">
      <c r="A25" t="s">
        <v>1065</v>
      </c>
      <c r="B25" t="s">
        <v>1068</v>
      </c>
      <c r="C25" t="s">
        <v>1069</v>
      </c>
      <c r="D25">
        <v>1.29</v>
      </c>
      <c r="E25">
        <v>0.83</v>
      </c>
      <c r="F25">
        <v>1.79</v>
      </c>
      <c r="G25" s="21">
        <f t="shared" si="0"/>
        <v>0.25291410854004148</v>
      </c>
    </row>
    <row r="26" spans="1:7" x14ac:dyDescent="0.2">
      <c r="A26" t="s">
        <v>1062</v>
      </c>
      <c r="B26" t="s">
        <v>1068</v>
      </c>
      <c r="C26" t="s">
        <v>1069</v>
      </c>
      <c r="D26">
        <v>1.3</v>
      </c>
      <c r="E26">
        <v>0.86</v>
      </c>
      <c r="F26">
        <v>1.96</v>
      </c>
      <c r="G26" s="21">
        <f t="shared" si="0"/>
        <v>0.2731881560893144</v>
      </c>
    </row>
    <row r="27" spans="1:7" x14ac:dyDescent="0.2">
      <c r="A27" t="s">
        <v>1063</v>
      </c>
      <c r="B27" t="s">
        <v>1068</v>
      </c>
      <c r="C27" t="s">
        <v>1069</v>
      </c>
      <c r="D27">
        <v>1.55</v>
      </c>
      <c r="E27">
        <v>0.9</v>
      </c>
      <c r="F27">
        <v>2.65</v>
      </c>
      <c r="G27" s="21">
        <f t="shared" si="0"/>
        <v>0.42700924522110545</v>
      </c>
    </row>
    <row r="28" spans="1:7" x14ac:dyDescent="0.2">
      <c r="A28" t="s">
        <v>1052</v>
      </c>
      <c r="B28" t="s">
        <v>1067</v>
      </c>
      <c r="C28" t="s">
        <v>87</v>
      </c>
      <c r="D28">
        <v>0.6</v>
      </c>
      <c r="E28">
        <v>0.46</v>
      </c>
      <c r="F28">
        <v>0.79</v>
      </c>
      <c r="G28" s="21">
        <f t="shared" si="0"/>
        <v>8.2776498363968332E-2</v>
      </c>
    </row>
    <row r="29" spans="1:7" x14ac:dyDescent="0.2">
      <c r="A29" t="s">
        <v>1054</v>
      </c>
      <c r="B29" t="s">
        <v>1067</v>
      </c>
      <c r="C29" t="s">
        <v>87</v>
      </c>
      <c r="D29">
        <v>0.7</v>
      </c>
      <c r="E29">
        <v>0.37</v>
      </c>
      <c r="F29">
        <v>1.33</v>
      </c>
      <c r="G29" s="21">
        <f t="shared" si="0"/>
        <v>0.22846985992455879</v>
      </c>
    </row>
    <row r="30" spans="1:7" x14ac:dyDescent="0.2">
      <c r="A30" t="s">
        <v>1059</v>
      </c>
      <c r="B30" t="s">
        <v>1067</v>
      </c>
      <c r="C30" t="s">
        <v>87</v>
      </c>
      <c r="D30">
        <v>1.23</v>
      </c>
      <c r="E30">
        <v>0.81</v>
      </c>
      <c r="F30">
        <v>1.87</v>
      </c>
      <c r="G30" s="21">
        <f t="shared" si="0"/>
        <v>0.262523249613276</v>
      </c>
    </row>
    <row r="31" spans="1:7" x14ac:dyDescent="0.2">
      <c r="A31" t="s">
        <v>1065</v>
      </c>
      <c r="B31" t="s">
        <v>1067</v>
      </c>
      <c r="C31" t="s">
        <v>87</v>
      </c>
      <c r="D31">
        <v>1.32</v>
      </c>
      <c r="E31">
        <v>1.03</v>
      </c>
      <c r="F31">
        <v>1.68</v>
      </c>
      <c r="G31" s="21">
        <f t="shared" si="0"/>
        <v>0.16474239498703633</v>
      </c>
    </row>
    <row r="32" spans="1:7" x14ac:dyDescent="0.2">
      <c r="A32" t="s">
        <v>1056</v>
      </c>
      <c r="B32" t="s">
        <v>1067</v>
      </c>
      <c r="C32" t="s">
        <v>87</v>
      </c>
      <c r="D32">
        <v>1.32</v>
      </c>
      <c r="E32">
        <v>0.96</v>
      </c>
      <c r="F32">
        <v>1.8</v>
      </c>
      <c r="G32" s="21">
        <f t="shared" si="0"/>
        <v>0.21167434449937092</v>
      </c>
    </row>
    <row r="33" spans="1:7" x14ac:dyDescent="0.2">
      <c r="A33" t="s">
        <v>1055</v>
      </c>
      <c r="B33" t="s">
        <v>1067</v>
      </c>
      <c r="C33" t="s">
        <v>87</v>
      </c>
      <c r="D33">
        <v>1.35</v>
      </c>
      <c r="E33">
        <v>1.06</v>
      </c>
      <c r="F33">
        <v>1.72</v>
      </c>
      <c r="G33" s="21">
        <f t="shared" si="0"/>
        <v>0.16670274659358955</v>
      </c>
    </row>
    <row r="34" spans="1:7" x14ac:dyDescent="0.2">
      <c r="A34" t="s">
        <v>1058</v>
      </c>
      <c r="B34" t="s">
        <v>1067</v>
      </c>
      <c r="C34" t="s">
        <v>87</v>
      </c>
      <c r="D34">
        <v>1.42</v>
      </c>
      <c r="E34">
        <v>1.08</v>
      </c>
      <c r="F34">
        <v>1.88</v>
      </c>
      <c r="G34" s="21">
        <f t="shared" si="0"/>
        <v>0.20079623589340195</v>
      </c>
    </row>
    <row r="35" spans="1:7" x14ac:dyDescent="0.2">
      <c r="A35" t="s">
        <v>1057</v>
      </c>
      <c r="B35" t="s">
        <v>1067</v>
      </c>
      <c r="C35" t="s">
        <v>87</v>
      </c>
      <c r="D35">
        <v>1.43</v>
      </c>
      <c r="E35">
        <v>0.98</v>
      </c>
      <c r="F35">
        <v>2.08</v>
      </c>
      <c r="G35" s="21">
        <f t="shared" si="0"/>
        <v>0.27453468353927724</v>
      </c>
    </row>
    <row r="36" spans="1:7" x14ac:dyDescent="0.2">
      <c r="A36" t="s">
        <v>1061</v>
      </c>
      <c r="B36" t="s">
        <v>1067</v>
      </c>
      <c r="C36" t="s">
        <v>87</v>
      </c>
      <c r="D36">
        <v>1.43</v>
      </c>
      <c r="E36">
        <v>1.2</v>
      </c>
      <c r="F36">
        <v>1.71</v>
      </c>
      <c r="G36" s="21">
        <f t="shared" si="0"/>
        <v>0.12920043204604029</v>
      </c>
    </row>
    <row r="37" spans="1:7" x14ac:dyDescent="0.2">
      <c r="A37" t="s">
        <v>1060</v>
      </c>
      <c r="B37" t="s">
        <v>1067</v>
      </c>
      <c r="C37" t="s">
        <v>87</v>
      </c>
      <c r="D37">
        <v>1.48</v>
      </c>
      <c r="E37">
        <v>0.95</v>
      </c>
      <c r="F37">
        <v>2.3199999999999998</v>
      </c>
      <c r="G37" s="21">
        <f t="shared" si="0"/>
        <v>0.33710038533095366</v>
      </c>
    </row>
    <row r="38" spans="1:7" x14ac:dyDescent="0.2">
      <c r="A38" t="s">
        <v>1063</v>
      </c>
      <c r="B38" t="s">
        <v>1067</v>
      </c>
      <c r="C38" t="s">
        <v>87</v>
      </c>
      <c r="D38">
        <v>1.72</v>
      </c>
      <c r="E38">
        <v>0.95</v>
      </c>
      <c r="F38">
        <v>3.1</v>
      </c>
      <c r="G38" s="21">
        <f t="shared" si="0"/>
        <v>0.51893778013042857</v>
      </c>
    </row>
    <row r="39" spans="1:7" x14ac:dyDescent="0.2">
      <c r="A39" t="s">
        <v>1062</v>
      </c>
      <c r="B39" t="s">
        <v>1067</v>
      </c>
      <c r="C39" t="s">
        <v>87</v>
      </c>
      <c r="D39">
        <v>1.79</v>
      </c>
      <c r="E39">
        <v>1.1100000000000001</v>
      </c>
      <c r="F39">
        <v>2.89</v>
      </c>
      <c r="G39" s="21">
        <f t="shared" si="0"/>
        <v>0.4369501814724937</v>
      </c>
    </row>
    <row r="40" spans="1:7" x14ac:dyDescent="0.2">
      <c r="A40" t="s">
        <v>1064</v>
      </c>
      <c r="B40" t="s">
        <v>1067</v>
      </c>
      <c r="C40" t="s">
        <v>87</v>
      </c>
      <c r="D40">
        <v>1.94</v>
      </c>
      <c r="E40">
        <v>1.37</v>
      </c>
      <c r="F40">
        <v>2.74</v>
      </c>
      <c r="G40" s="21">
        <f t="shared" si="0"/>
        <v>0.34303712507303413</v>
      </c>
    </row>
    <row r="41" spans="1:7" x14ac:dyDescent="0.2">
      <c r="A41" t="s">
        <v>1052</v>
      </c>
      <c r="B41" t="s">
        <v>1068</v>
      </c>
      <c r="C41" t="s">
        <v>87</v>
      </c>
      <c r="D41">
        <v>0.62</v>
      </c>
      <c r="E41">
        <v>0.4</v>
      </c>
      <c r="F41">
        <v>0.95</v>
      </c>
      <c r="G41" s="21">
        <f t="shared" si="0"/>
        <v>0.13681081919430987</v>
      </c>
    </row>
    <row r="42" spans="1:7" x14ac:dyDescent="0.2">
      <c r="A42" t="s">
        <v>1056</v>
      </c>
      <c r="B42" t="s">
        <v>1068</v>
      </c>
      <c r="C42" t="s">
        <v>87</v>
      </c>
      <c r="D42">
        <v>0.79</v>
      </c>
      <c r="E42">
        <v>0.4</v>
      </c>
      <c r="F42">
        <v>1.1599999999999999</v>
      </c>
      <c r="G42" s="21">
        <f t="shared" si="0"/>
        <v>0.21457180668980061</v>
      </c>
    </row>
    <row r="43" spans="1:7" x14ac:dyDescent="0.2">
      <c r="A43" t="s">
        <v>1055</v>
      </c>
      <c r="B43" t="s">
        <v>1068</v>
      </c>
      <c r="C43" t="s">
        <v>87</v>
      </c>
      <c r="D43">
        <v>0.85</v>
      </c>
      <c r="E43">
        <v>0.62</v>
      </c>
      <c r="F43">
        <v>1.1599999999999999</v>
      </c>
      <c r="G43" s="21">
        <f t="shared" si="0"/>
        <v>0.13583863141634747</v>
      </c>
    </row>
    <row r="44" spans="1:7" x14ac:dyDescent="0.2">
      <c r="A44" t="s">
        <v>1054</v>
      </c>
      <c r="B44" t="s">
        <v>1068</v>
      </c>
      <c r="C44" t="s">
        <v>87</v>
      </c>
      <c r="D44">
        <v>0.85</v>
      </c>
      <c r="E44">
        <v>0.5</v>
      </c>
      <c r="F44">
        <v>1.43</v>
      </c>
      <c r="G44" s="21">
        <f t="shared" si="0"/>
        <v>0.22785672987423394</v>
      </c>
    </row>
    <row r="45" spans="1:7" x14ac:dyDescent="0.2">
      <c r="A45" t="s">
        <v>1059</v>
      </c>
      <c r="B45" t="s">
        <v>1068</v>
      </c>
      <c r="C45" t="s">
        <v>87</v>
      </c>
      <c r="D45">
        <v>0.89</v>
      </c>
      <c r="E45">
        <v>0.62</v>
      </c>
      <c r="F45">
        <v>1.27</v>
      </c>
      <c r="G45" s="21">
        <f t="shared" si="0"/>
        <v>0.16280023067806498</v>
      </c>
    </row>
    <row r="46" spans="1:7" x14ac:dyDescent="0.2">
      <c r="A46" t="s">
        <v>1064</v>
      </c>
      <c r="B46" t="s">
        <v>1068</v>
      </c>
      <c r="C46" t="s">
        <v>87</v>
      </c>
      <c r="D46">
        <v>0.89</v>
      </c>
      <c r="E46">
        <v>0.61</v>
      </c>
      <c r="F46">
        <v>1.31</v>
      </c>
      <c r="G46" s="21">
        <f t="shared" si="0"/>
        <v>0.17353262207519843</v>
      </c>
    </row>
    <row r="47" spans="1:7" x14ac:dyDescent="0.2">
      <c r="A47" t="s">
        <v>1061</v>
      </c>
      <c r="B47" t="s">
        <v>1068</v>
      </c>
      <c r="C47" t="s">
        <v>87</v>
      </c>
      <c r="D47">
        <v>1.06</v>
      </c>
      <c r="E47">
        <v>0.87</v>
      </c>
      <c r="F47">
        <v>1.28</v>
      </c>
      <c r="G47" s="21">
        <f t="shared" si="0"/>
        <v>0.10441058009717744</v>
      </c>
    </row>
    <row r="48" spans="1:7" x14ac:dyDescent="0.2">
      <c r="A48" t="s">
        <v>1060</v>
      </c>
      <c r="B48" t="s">
        <v>1068</v>
      </c>
      <c r="C48" t="s">
        <v>87</v>
      </c>
      <c r="D48">
        <v>1.07</v>
      </c>
      <c r="E48">
        <v>0.7</v>
      </c>
      <c r="F48">
        <v>1.64</v>
      </c>
      <c r="G48" s="21">
        <f t="shared" si="0"/>
        <v>0.23238958387221384</v>
      </c>
    </row>
    <row r="49" spans="1:7" x14ac:dyDescent="0.2">
      <c r="A49" t="s">
        <v>1065</v>
      </c>
      <c r="B49" t="s">
        <v>1068</v>
      </c>
      <c r="C49" t="s">
        <v>87</v>
      </c>
      <c r="D49">
        <v>1.18</v>
      </c>
      <c r="E49">
        <v>0.88</v>
      </c>
      <c r="F49">
        <v>1.59</v>
      </c>
      <c r="G49" s="21">
        <f t="shared" si="0"/>
        <v>0.17807385651418103</v>
      </c>
    </row>
    <row r="50" spans="1:7" x14ac:dyDescent="0.2">
      <c r="A50" t="s">
        <v>1058</v>
      </c>
      <c r="B50" t="s">
        <v>1068</v>
      </c>
      <c r="C50" t="s">
        <v>87</v>
      </c>
      <c r="D50">
        <v>1.29</v>
      </c>
      <c r="E50">
        <v>0.91</v>
      </c>
      <c r="F50">
        <v>1.84</v>
      </c>
      <c r="G50" s="21">
        <f t="shared" si="0"/>
        <v>0.23169856222164667</v>
      </c>
    </row>
    <row r="51" spans="1:7" x14ac:dyDescent="0.2">
      <c r="A51" t="s">
        <v>1062</v>
      </c>
      <c r="B51" t="s">
        <v>1068</v>
      </c>
      <c r="C51" t="s">
        <v>87</v>
      </c>
      <c r="D51">
        <v>1.33</v>
      </c>
      <c r="E51">
        <v>0.91</v>
      </c>
      <c r="F51">
        <v>1.95</v>
      </c>
      <c r="G51" s="21">
        <f t="shared" si="0"/>
        <v>0.25858323194448285</v>
      </c>
    </row>
    <row r="52" spans="1:7" x14ac:dyDescent="0.2">
      <c r="A52" t="s">
        <v>1063</v>
      </c>
      <c r="B52" t="s">
        <v>1068</v>
      </c>
      <c r="C52" t="s">
        <v>87</v>
      </c>
      <c r="D52">
        <v>1.35</v>
      </c>
      <c r="E52">
        <v>0.81</v>
      </c>
      <c r="F52">
        <v>2.2599999999999998</v>
      </c>
      <c r="G52" s="21">
        <f t="shared" si="0"/>
        <v>0.35337140056372279</v>
      </c>
    </row>
    <row r="53" spans="1:7" x14ac:dyDescent="0.2">
      <c r="A53" t="s">
        <v>1057</v>
      </c>
      <c r="B53" t="s">
        <v>1068</v>
      </c>
      <c r="C53" t="s">
        <v>87</v>
      </c>
      <c r="D53">
        <v>1.42</v>
      </c>
      <c r="E53">
        <v>0.8</v>
      </c>
      <c r="F53">
        <v>2.5099999999999998</v>
      </c>
      <c r="G53" s="21">
        <f t="shared" si="0"/>
        <v>0.41420034498219926</v>
      </c>
    </row>
    <row r="54" spans="1:7" x14ac:dyDescent="0.2">
      <c r="A54" t="s">
        <v>1072</v>
      </c>
      <c r="B54" t="s">
        <v>1067</v>
      </c>
      <c r="C54" t="s">
        <v>87</v>
      </c>
      <c r="D54">
        <v>0.68</v>
      </c>
      <c r="E54">
        <v>0.51</v>
      </c>
      <c r="F54">
        <v>0.92</v>
      </c>
      <c r="G54" s="21">
        <f t="shared" si="0"/>
        <v>0.1023405107502056</v>
      </c>
    </row>
    <row r="55" spans="1:7" x14ac:dyDescent="0.2">
      <c r="A55" t="s">
        <v>1073</v>
      </c>
      <c r="B55" t="s">
        <v>1067</v>
      </c>
      <c r="C55" t="s">
        <v>87</v>
      </c>
      <c r="D55">
        <v>0.83</v>
      </c>
      <c r="E55">
        <v>0.41</v>
      </c>
      <c r="F55">
        <v>1.67</v>
      </c>
      <c r="G55" s="21">
        <f t="shared" si="0"/>
        <v>0.2973648084034009</v>
      </c>
    </row>
    <row r="56" spans="1:7" x14ac:dyDescent="0.2">
      <c r="A56" t="s">
        <v>1074</v>
      </c>
      <c r="B56" t="s">
        <v>1067</v>
      </c>
      <c r="C56" t="s">
        <v>87</v>
      </c>
      <c r="D56">
        <v>1.38</v>
      </c>
      <c r="E56">
        <v>1</v>
      </c>
      <c r="F56">
        <v>1.7</v>
      </c>
      <c r="G56" s="21">
        <f t="shared" si="0"/>
        <v>0.18680280266984567</v>
      </c>
    </row>
    <row r="57" spans="1:7" x14ac:dyDescent="0.2">
      <c r="A57" t="s">
        <v>1075</v>
      </c>
      <c r="B57" t="s">
        <v>1067</v>
      </c>
      <c r="C57" t="s">
        <v>87</v>
      </c>
      <c r="D57">
        <v>1.38</v>
      </c>
      <c r="E57">
        <v>1.06</v>
      </c>
      <c r="F57">
        <v>1.79</v>
      </c>
      <c r="G57" s="21">
        <f t="shared" si="0"/>
        <v>0.18445062810856869</v>
      </c>
    </row>
    <row r="58" spans="1:7" x14ac:dyDescent="0.2">
      <c r="A58" t="s">
        <v>1076</v>
      </c>
      <c r="B58" t="s">
        <v>1067</v>
      </c>
      <c r="C58" t="s">
        <v>87</v>
      </c>
      <c r="D58">
        <v>1.44</v>
      </c>
      <c r="E58">
        <v>1.02</v>
      </c>
      <c r="F58">
        <v>2.0299999999999998</v>
      </c>
      <c r="G58" s="21">
        <f t="shared" si="0"/>
        <v>0.25282034660480185</v>
      </c>
    </row>
    <row r="59" spans="1:7" x14ac:dyDescent="0.2">
      <c r="A59" t="s">
        <v>1077</v>
      </c>
      <c r="B59" t="s">
        <v>1067</v>
      </c>
      <c r="C59" t="s">
        <v>87</v>
      </c>
      <c r="D59">
        <v>1.47</v>
      </c>
      <c r="E59">
        <v>0.93</v>
      </c>
      <c r="F59">
        <v>2.31</v>
      </c>
      <c r="G59" s="21">
        <f t="shared" si="0"/>
        <v>0.34118183151320158</v>
      </c>
    </row>
    <row r="60" spans="1:7" x14ac:dyDescent="0.2">
      <c r="A60" t="s">
        <v>1078</v>
      </c>
      <c r="B60" t="s">
        <v>1067</v>
      </c>
      <c r="C60" t="s">
        <v>87</v>
      </c>
      <c r="D60">
        <v>1.52</v>
      </c>
      <c r="E60">
        <v>1.1200000000000001</v>
      </c>
      <c r="F60">
        <v>2.0699999999999998</v>
      </c>
      <c r="G60" s="21">
        <f t="shared" si="0"/>
        <v>0.23816690851908601</v>
      </c>
    </row>
    <row r="61" spans="1:7" x14ac:dyDescent="0.2">
      <c r="A61" t="s">
        <v>1079</v>
      </c>
      <c r="B61" t="s">
        <v>1067</v>
      </c>
      <c r="C61" t="s">
        <v>87</v>
      </c>
      <c r="D61">
        <v>1.54</v>
      </c>
      <c r="E61">
        <v>1.02</v>
      </c>
      <c r="F61">
        <v>2.3199999999999998</v>
      </c>
      <c r="G61" s="21">
        <f t="shared" si="0"/>
        <v>0.32283607650722951</v>
      </c>
    </row>
    <row r="62" spans="1:7" x14ac:dyDescent="0.2">
      <c r="A62" t="s">
        <v>1080</v>
      </c>
      <c r="B62" t="s">
        <v>1067</v>
      </c>
      <c r="C62" t="s">
        <v>87</v>
      </c>
      <c r="D62">
        <v>1.58</v>
      </c>
      <c r="E62">
        <v>1.3</v>
      </c>
      <c r="F62">
        <v>1.92</v>
      </c>
      <c r="G62" s="21">
        <f t="shared" si="0"/>
        <v>0.15717812655205984</v>
      </c>
    </row>
    <row r="63" spans="1:7" x14ac:dyDescent="0.2">
      <c r="A63" t="s">
        <v>1081</v>
      </c>
      <c r="B63" t="s">
        <v>1067</v>
      </c>
      <c r="C63" t="s">
        <v>87</v>
      </c>
      <c r="D63">
        <v>1.59</v>
      </c>
      <c r="E63">
        <v>0.99</v>
      </c>
      <c r="F63">
        <v>2.56</v>
      </c>
      <c r="G63" s="21">
        <f t="shared" si="0"/>
        <v>0.38535499362461906</v>
      </c>
    </row>
    <row r="64" spans="1:7" x14ac:dyDescent="0.2">
      <c r="A64" t="s">
        <v>1082</v>
      </c>
      <c r="B64" t="s">
        <v>1067</v>
      </c>
      <c r="C64" t="s">
        <v>87</v>
      </c>
      <c r="D64">
        <v>1.63</v>
      </c>
      <c r="E64">
        <v>0.98</v>
      </c>
      <c r="F64">
        <v>2.72</v>
      </c>
      <c r="G64" s="21">
        <f t="shared" si="0"/>
        <v>0.42447968822179677</v>
      </c>
    </row>
    <row r="65" spans="1:7" x14ac:dyDescent="0.2">
      <c r="A65" t="s">
        <v>1083</v>
      </c>
      <c r="B65" t="s">
        <v>1067</v>
      </c>
      <c r="C65" t="s">
        <v>87</v>
      </c>
      <c r="D65">
        <v>1.74</v>
      </c>
      <c r="E65">
        <v>0.92</v>
      </c>
      <c r="F65">
        <v>3.28</v>
      </c>
      <c r="G65" s="21">
        <f t="shared" si="0"/>
        <v>0.56426825370486744</v>
      </c>
    </row>
    <row r="66" spans="1:7" x14ac:dyDescent="0.2">
      <c r="A66" t="s">
        <v>1084</v>
      </c>
      <c r="B66" t="s">
        <v>1067</v>
      </c>
      <c r="C66" t="s">
        <v>87</v>
      </c>
      <c r="D66">
        <v>2.0699999999999998</v>
      </c>
      <c r="E66">
        <v>1.41</v>
      </c>
      <c r="F66">
        <v>3.05</v>
      </c>
      <c r="G66" s="21">
        <f t="shared" si="0"/>
        <v>0.40742663379962596</v>
      </c>
    </row>
    <row r="67" spans="1:7" x14ac:dyDescent="0.2">
      <c r="A67" t="s">
        <v>1072</v>
      </c>
      <c r="B67" t="s">
        <v>1068</v>
      </c>
      <c r="C67" t="s">
        <v>87</v>
      </c>
      <c r="D67">
        <v>0.63</v>
      </c>
      <c r="E67">
        <v>0.39</v>
      </c>
      <c r="F67">
        <v>1.02</v>
      </c>
      <c r="G67" s="21">
        <f t="shared" ref="G67:G130" si="1">D67 * (LN(F67)-LN(E67))/(2*1.96)</f>
        <v>0.15451250900699326</v>
      </c>
    </row>
    <row r="68" spans="1:7" x14ac:dyDescent="0.2">
      <c r="A68" t="s">
        <v>1073</v>
      </c>
      <c r="B68" t="s">
        <v>1068</v>
      </c>
      <c r="C68" t="s">
        <v>87</v>
      </c>
      <c r="D68">
        <v>0.78</v>
      </c>
      <c r="E68">
        <v>0.43</v>
      </c>
      <c r="F68">
        <v>1.41</v>
      </c>
      <c r="G68" s="21">
        <f t="shared" si="1"/>
        <v>0.23630015924846751</v>
      </c>
    </row>
    <row r="69" spans="1:7" x14ac:dyDescent="0.2">
      <c r="A69" t="s">
        <v>1076</v>
      </c>
      <c r="B69" t="s">
        <v>1068</v>
      </c>
      <c r="C69" t="s">
        <v>87</v>
      </c>
      <c r="D69">
        <v>0.86</v>
      </c>
      <c r="E69">
        <v>0.56000000000000005</v>
      </c>
      <c r="F69">
        <v>1.31</v>
      </c>
      <c r="G69" s="21">
        <f t="shared" si="1"/>
        <v>0.18644572548999028</v>
      </c>
    </row>
    <row r="70" spans="1:7" x14ac:dyDescent="0.2">
      <c r="A70" t="s">
        <v>1074</v>
      </c>
      <c r="B70" t="s">
        <v>1068</v>
      </c>
      <c r="C70" t="s">
        <v>87</v>
      </c>
      <c r="D70">
        <v>0.96</v>
      </c>
      <c r="E70">
        <v>0.68</v>
      </c>
      <c r="F70">
        <v>1.35</v>
      </c>
      <c r="G70" s="21">
        <f t="shared" si="1"/>
        <v>0.16794295671730355</v>
      </c>
    </row>
    <row r="71" spans="1:7" x14ac:dyDescent="0.2">
      <c r="A71" t="s">
        <v>1084</v>
      </c>
      <c r="B71" t="s">
        <v>1068</v>
      </c>
      <c r="C71" t="s">
        <v>87</v>
      </c>
      <c r="D71">
        <v>1.03</v>
      </c>
      <c r="E71">
        <v>0.66</v>
      </c>
      <c r="F71">
        <v>1.6</v>
      </c>
      <c r="G71" s="21">
        <f t="shared" si="1"/>
        <v>0.23267465443969987</v>
      </c>
    </row>
    <row r="72" spans="1:7" x14ac:dyDescent="0.2">
      <c r="A72" t="s">
        <v>1077</v>
      </c>
      <c r="B72" t="s">
        <v>1068</v>
      </c>
      <c r="C72" t="s">
        <v>87</v>
      </c>
      <c r="D72">
        <v>1.1200000000000001</v>
      </c>
      <c r="E72">
        <v>0.77</v>
      </c>
      <c r="F72">
        <v>1.62</v>
      </c>
      <c r="G72" s="21">
        <f t="shared" si="1"/>
        <v>0.21251168953677155</v>
      </c>
    </row>
    <row r="73" spans="1:7" x14ac:dyDescent="0.2">
      <c r="A73" t="s">
        <v>1080</v>
      </c>
      <c r="B73" t="s">
        <v>1068</v>
      </c>
      <c r="C73" t="s">
        <v>87</v>
      </c>
      <c r="D73">
        <v>1.1399999999999999</v>
      </c>
      <c r="E73">
        <v>0.92</v>
      </c>
      <c r="F73">
        <v>1.4</v>
      </c>
      <c r="G73" s="21">
        <f t="shared" si="1"/>
        <v>0.12210035304558695</v>
      </c>
    </row>
    <row r="74" spans="1:7" x14ac:dyDescent="0.2">
      <c r="A74" t="s">
        <v>1081</v>
      </c>
      <c r="B74" t="s">
        <v>1068</v>
      </c>
      <c r="C74" t="s">
        <v>87</v>
      </c>
      <c r="D74">
        <v>1.17</v>
      </c>
      <c r="E74">
        <v>0.75</v>
      </c>
      <c r="F74">
        <v>1.82</v>
      </c>
      <c r="G74" s="21">
        <f t="shared" si="1"/>
        <v>0.2645986558781549</v>
      </c>
    </row>
    <row r="75" spans="1:7" x14ac:dyDescent="0.2">
      <c r="A75" t="s">
        <v>1079</v>
      </c>
      <c r="B75" t="s">
        <v>1068</v>
      </c>
      <c r="C75" t="s">
        <v>87</v>
      </c>
      <c r="D75">
        <v>1.25</v>
      </c>
      <c r="E75">
        <v>0.67</v>
      </c>
      <c r="F75">
        <v>2.31</v>
      </c>
      <c r="G75" s="21">
        <f t="shared" si="1"/>
        <v>0.39468274589630981</v>
      </c>
    </row>
    <row r="76" spans="1:7" x14ac:dyDescent="0.2">
      <c r="A76" t="s">
        <v>1098</v>
      </c>
      <c r="B76" t="s">
        <v>1068</v>
      </c>
      <c r="C76" t="s">
        <v>87</v>
      </c>
      <c r="D76">
        <v>1.3</v>
      </c>
      <c r="E76">
        <v>0.93</v>
      </c>
      <c r="F76">
        <v>1.8</v>
      </c>
      <c r="G76" s="21">
        <f t="shared" si="1"/>
        <v>0.21899606251480633</v>
      </c>
    </row>
    <row r="77" spans="1:7" x14ac:dyDescent="0.2">
      <c r="A77" t="s">
        <v>1078</v>
      </c>
      <c r="B77" t="s">
        <v>1068</v>
      </c>
      <c r="C77" t="s">
        <v>87</v>
      </c>
      <c r="D77">
        <v>1.31</v>
      </c>
      <c r="E77">
        <v>0.89</v>
      </c>
      <c r="F77">
        <v>1.93</v>
      </c>
      <c r="G77" s="21">
        <f t="shared" si="1"/>
        <v>0.2586761487541574</v>
      </c>
    </row>
    <row r="78" spans="1:7" x14ac:dyDescent="0.2">
      <c r="A78" t="s">
        <v>1082</v>
      </c>
      <c r="B78" t="s">
        <v>1068</v>
      </c>
      <c r="C78" t="s">
        <v>87</v>
      </c>
      <c r="D78">
        <v>1.38</v>
      </c>
      <c r="E78">
        <v>0.9</v>
      </c>
      <c r="F78">
        <v>2.11</v>
      </c>
      <c r="G78" s="21">
        <f t="shared" si="1"/>
        <v>0.29995583651561375</v>
      </c>
    </row>
    <row r="79" spans="1:7" x14ac:dyDescent="0.2">
      <c r="A79" t="s">
        <v>1083</v>
      </c>
      <c r="B79" t="s">
        <v>1068</v>
      </c>
      <c r="C79" t="s">
        <v>87</v>
      </c>
      <c r="D79">
        <v>1.57</v>
      </c>
      <c r="E79">
        <v>0.92</v>
      </c>
      <c r="F79">
        <v>2.7</v>
      </c>
      <c r="G79" s="21">
        <f t="shared" si="1"/>
        <v>0.43120265552562637</v>
      </c>
    </row>
    <row r="80" spans="1:7" x14ac:dyDescent="0.2">
      <c r="A80" t="s">
        <v>1085</v>
      </c>
      <c r="B80" t="s">
        <v>1067</v>
      </c>
      <c r="C80" t="s">
        <v>1069</v>
      </c>
      <c r="D80">
        <v>0.35</v>
      </c>
      <c r="E80">
        <v>0.3</v>
      </c>
      <c r="F80">
        <v>0.42</v>
      </c>
      <c r="G80" s="21">
        <f t="shared" si="1"/>
        <v>3.0042163984036876E-2</v>
      </c>
    </row>
    <row r="81" spans="1:7" x14ac:dyDescent="0.2">
      <c r="A81" t="s">
        <v>1086</v>
      </c>
      <c r="B81" t="s">
        <v>1067</v>
      </c>
      <c r="C81" t="s">
        <v>1069</v>
      </c>
      <c r="D81">
        <v>0.49</v>
      </c>
      <c r="E81">
        <v>0.34</v>
      </c>
      <c r="F81">
        <v>0.71</v>
      </c>
      <c r="G81" s="21">
        <f t="shared" si="1"/>
        <v>9.2039919053144223E-2</v>
      </c>
    </row>
    <row r="82" spans="1:7" x14ac:dyDescent="0.2">
      <c r="A82" t="s">
        <v>1087</v>
      </c>
      <c r="B82" t="s">
        <v>1067</v>
      </c>
      <c r="C82" t="s">
        <v>1069</v>
      </c>
      <c r="D82">
        <v>0.68</v>
      </c>
      <c r="E82">
        <v>0.54</v>
      </c>
      <c r="F82">
        <v>0.85</v>
      </c>
      <c r="G82" s="21">
        <f t="shared" si="1"/>
        <v>7.8697373150435873E-2</v>
      </c>
    </row>
    <row r="83" spans="1:7" x14ac:dyDescent="0.2">
      <c r="A83" t="s">
        <v>1088</v>
      </c>
      <c r="B83" t="s">
        <v>1067</v>
      </c>
      <c r="C83" t="s">
        <v>1069</v>
      </c>
      <c r="D83">
        <v>0.72</v>
      </c>
      <c r="E83">
        <v>0.6</v>
      </c>
      <c r="F83">
        <v>0.85</v>
      </c>
      <c r="G83" s="21">
        <f t="shared" si="1"/>
        <v>6.3974698947223324E-2</v>
      </c>
    </row>
    <row r="84" spans="1:7" x14ac:dyDescent="0.2">
      <c r="A84" t="s">
        <v>1089</v>
      </c>
      <c r="B84" t="s">
        <v>1067</v>
      </c>
      <c r="C84" t="s">
        <v>1069</v>
      </c>
      <c r="D84">
        <v>0.76</v>
      </c>
      <c r="E84">
        <v>0.61</v>
      </c>
      <c r="F84">
        <v>0.94</v>
      </c>
      <c r="G84" s="21">
        <f t="shared" si="1"/>
        <v>8.3836708610583247E-2</v>
      </c>
    </row>
    <row r="85" spans="1:7" x14ac:dyDescent="0.2">
      <c r="A85" t="s">
        <v>1090</v>
      </c>
      <c r="B85" t="s">
        <v>1067</v>
      </c>
      <c r="C85" t="s">
        <v>1069</v>
      </c>
      <c r="D85">
        <v>0.76</v>
      </c>
      <c r="E85">
        <v>0.67</v>
      </c>
      <c r="F85">
        <v>0.87</v>
      </c>
      <c r="G85" s="21">
        <f t="shared" si="1"/>
        <v>5.0643821285803414E-2</v>
      </c>
    </row>
    <row r="86" spans="1:7" x14ac:dyDescent="0.2">
      <c r="A86" t="s">
        <v>1091</v>
      </c>
      <c r="B86" t="s">
        <v>1067</v>
      </c>
      <c r="C86" t="s">
        <v>1069</v>
      </c>
      <c r="D86">
        <v>0.87</v>
      </c>
      <c r="E86">
        <v>0.78</v>
      </c>
      <c r="F86">
        <v>0.97</v>
      </c>
      <c r="G86" s="21">
        <f t="shared" si="1"/>
        <v>4.8383130632142397E-2</v>
      </c>
    </row>
    <row r="87" spans="1:7" x14ac:dyDescent="0.2">
      <c r="A87" t="s">
        <v>1092</v>
      </c>
      <c r="B87" t="s">
        <v>1067</v>
      </c>
      <c r="C87" t="s">
        <v>1069</v>
      </c>
      <c r="D87">
        <v>0.88</v>
      </c>
      <c r="E87">
        <v>0.74</v>
      </c>
      <c r="F87">
        <v>1.04</v>
      </c>
      <c r="G87" s="21">
        <f t="shared" si="1"/>
        <v>7.6399670720596585E-2</v>
      </c>
    </row>
    <row r="88" spans="1:7" x14ac:dyDescent="0.2">
      <c r="A88" t="s">
        <v>1093</v>
      </c>
      <c r="B88" t="s">
        <v>1067</v>
      </c>
      <c r="C88" t="s">
        <v>1069</v>
      </c>
      <c r="D88">
        <v>0.96</v>
      </c>
      <c r="E88">
        <v>0.71</v>
      </c>
      <c r="F88">
        <v>1.3</v>
      </c>
      <c r="G88" s="21">
        <f t="shared" si="1"/>
        <v>0.1481276506320654</v>
      </c>
    </row>
    <row r="89" spans="1:7" x14ac:dyDescent="0.2">
      <c r="A89" t="s">
        <v>1094</v>
      </c>
      <c r="B89" t="s">
        <v>1067</v>
      </c>
      <c r="C89" t="s">
        <v>1069</v>
      </c>
      <c r="D89">
        <v>0.98</v>
      </c>
      <c r="E89">
        <v>0.76</v>
      </c>
      <c r="F89">
        <v>1.27</v>
      </c>
      <c r="G89" s="21">
        <f t="shared" si="1"/>
        <v>0.12836343654306506</v>
      </c>
    </row>
    <row r="90" spans="1:7" x14ac:dyDescent="0.2">
      <c r="A90" t="s">
        <v>1095</v>
      </c>
      <c r="B90" t="s">
        <v>1067</v>
      </c>
      <c r="C90" t="s">
        <v>1069</v>
      </c>
      <c r="D90">
        <v>1.06</v>
      </c>
      <c r="E90">
        <v>0.68</v>
      </c>
      <c r="F90">
        <v>1.64</v>
      </c>
      <c r="G90" s="21">
        <f t="shared" si="1"/>
        <v>0.23805618520586153</v>
      </c>
    </row>
    <row r="91" spans="1:7" x14ac:dyDescent="0.2">
      <c r="A91" t="s">
        <v>1096</v>
      </c>
      <c r="B91" t="s">
        <v>1067</v>
      </c>
      <c r="C91" t="s">
        <v>1069</v>
      </c>
      <c r="D91">
        <v>1.08</v>
      </c>
      <c r="E91">
        <v>0.92</v>
      </c>
      <c r="F91">
        <v>1.27</v>
      </c>
      <c r="G91" s="21">
        <f t="shared" si="1"/>
        <v>8.8824079123039565E-2</v>
      </c>
    </row>
    <row r="92" spans="1:7" x14ac:dyDescent="0.2">
      <c r="A92" t="s">
        <v>1097</v>
      </c>
      <c r="B92" t="s">
        <v>1067</v>
      </c>
      <c r="C92" t="s">
        <v>1069</v>
      </c>
      <c r="D92">
        <v>1.42</v>
      </c>
      <c r="E92">
        <v>1.1399999999999999</v>
      </c>
      <c r="F92">
        <v>1.75</v>
      </c>
      <c r="G92" s="21">
        <f t="shared" si="1"/>
        <v>0.1552536444518384</v>
      </c>
    </row>
    <row r="93" spans="1:7" x14ac:dyDescent="0.2">
      <c r="A93" t="s">
        <v>1085</v>
      </c>
      <c r="B93" t="s">
        <v>1068</v>
      </c>
      <c r="C93" t="s">
        <v>1069</v>
      </c>
      <c r="D93">
        <v>0.41</v>
      </c>
      <c r="E93">
        <v>0.33</v>
      </c>
      <c r="F93">
        <v>0.53</v>
      </c>
      <c r="G93" s="21">
        <f t="shared" si="1"/>
        <v>4.9553975600794151E-2</v>
      </c>
    </row>
    <row r="94" spans="1:7" x14ac:dyDescent="0.2">
      <c r="A94" t="s">
        <v>1095</v>
      </c>
      <c r="B94" t="s">
        <v>1068</v>
      </c>
      <c r="C94" t="s">
        <v>1069</v>
      </c>
      <c r="D94">
        <v>0.46</v>
      </c>
      <c r="E94">
        <v>0.35</v>
      </c>
      <c r="F94">
        <v>0.6</v>
      </c>
      <c r="G94" s="21">
        <f t="shared" si="1"/>
        <v>6.324958937169288E-2</v>
      </c>
    </row>
    <row r="95" spans="1:7" x14ac:dyDescent="0.2">
      <c r="A95" t="s">
        <v>1088</v>
      </c>
      <c r="B95" t="s">
        <v>1068</v>
      </c>
      <c r="C95" t="s">
        <v>1069</v>
      </c>
      <c r="D95">
        <v>0.48</v>
      </c>
      <c r="E95">
        <v>0.38</v>
      </c>
      <c r="F95">
        <v>0.61</v>
      </c>
      <c r="G95" s="21">
        <f t="shared" si="1"/>
        <v>5.7953596462888834E-2</v>
      </c>
    </row>
    <row r="96" spans="1:7" x14ac:dyDescent="0.2">
      <c r="A96" t="s">
        <v>1090</v>
      </c>
      <c r="B96" t="s">
        <v>1068</v>
      </c>
      <c r="C96" t="s">
        <v>1069</v>
      </c>
      <c r="D96">
        <v>0.54</v>
      </c>
      <c r="E96">
        <v>0.45</v>
      </c>
      <c r="F96">
        <v>0.64</v>
      </c>
      <c r="G96" s="21">
        <f t="shared" si="1"/>
        <v>4.8520183810778106E-2</v>
      </c>
    </row>
    <row r="97" spans="1:7" x14ac:dyDescent="0.2">
      <c r="A97" t="s">
        <v>1087</v>
      </c>
      <c r="B97" t="s">
        <v>1068</v>
      </c>
      <c r="C97" t="s">
        <v>1069</v>
      </c>
      <c r="D97">
        <v>0.69</v>
      </c>
      <c r="E97">
        <v>0.54</v>
      </c>
      <c r="F97">
        <v>0.87</v>
      </c>
      <c r="G97" s="21">
        <f t="shared" si="1"/>
        <v>8.3948369832222799E-2</v>
      </c>
    </row>
    <row r="98" spans="1:7" x14ac:dyDescent="0.2">
      <c r="A98" t="s">
        <v>1096</v>
      </c>
      <c r="B98" t="s">
        <v>1068</v>
      </c>
      <c r="C98" t="s">
        <v>1069</v>
      </c>
      <c r="D98">
        <v>0.73</v>
      </c>
      <c r="E98">
        <v>0.59</v>
      </c>
      <c r="F98">
        <v>0.89</v>
      </c>
      <c r="G98" s="21">
        <f t="shared" si="1"/>
        <v>7.6556687717675237E-2</v>
      </c>
    </row>
    <row r="99" spans="1:7" x14ac:dyDescent="0.2">
      <c r="A99" t="s">
        <v>1092</v>
      </c>
      <c r="B99" t="s">
        <v>1068</v>
      </c>
      <c r="C99" t="s">
        <v>1069</v>
      </c>
      <c r="D99">
        <v>0.73</v>
      </c>
      <c r="E99">
        <v>0.56999999999999995</v>
      </c>
      <c r="F99">
        <v>0.92</v>
      </c>
      <c r="G99" s="21">
        <f t="shared" si="1"/>
        <v>8.915261115473927E-2</v>
      </c>
    </row>
    <row r="100" spans="1:7" x14ac:dyDescent="0.2">
      <c r="A100" t="s">
        <v>1093</v>
      </c>
      <c r="B100" t="s">
        <v>1068</v>
      </c>
      <c r="C100" t="s">
        <v>1069</v>
      </c>
      <c r="D100">
        <v>0.74</v>
      </c>
      <c r="E100">
        <v>0.52</v>
      </c>
      <c r="F100">
        <v>1.04</v>
      </c>
      <c r="G100" s="21">
        <f t="shared" si="1"/>
        <v>0.13084921265672439</v>
      </c>
    </row>
    <row r="101" spans="1:7" x14ac:dyDescent="0.2">
      <c r="A101" t="s">
        <v>1086</v>
      </c>
      <c r="B101" t="s">
        <v>1068</v>
      </c>
      <c r="C101" t="s">
        <v>1069</v>
      </c>
      <c r="D101">
        <v>0.75</v>
      </c>
      <c r="E101">
        <v>0.53</v>
      </c>
      <c r="F101">
        <v>1.06</v>
      </c>
      <c r="G101" s="21">
        <f t="shared" si="1"/>
        <v>0.13261744526019362</v>
      </c>
    </row>
    <row r="102" spans="1:7" x14ac:dyDescent="0.2">
      <c r="A102" t="s">
        <v>1091</v>
      </c>
      <c r="B102" t="s">
        <v>1068</v>
      </c>
      <c r="C102" t="s">
        <v>1069</v>
      </c>
      <c r="D102">
        <v>0.76</v>
      </c>
      <c r="E102">
        <v>0.66</v>
      </c>
      <c r="F102">
        <v>0.87</v>
      </c>
      <c r="G102" s="21">
        <f t="shared" si="1"/>
        <v>5.3559328121785765E-2</v>
      </c>
    </row>
    <row r="103" spans="1:7" x14ac:dyDescent="0.2">
      <c r="A103" t="s">
        <v>1089</v>
      </c>
      <c r="B103" t="s">
        <v>1068</v>
      </c>
      <c r="C103" t="s">
        <v>1069</v>
      </c>
      <c r="D103">
        <v>0.81</v>
      </c>
      <c r="E103">
        <v>0.56000000000000005</v>
      </c>
      <c r="F103">
        <v>1.17</v>
      </c>
      <c r="G103" s="21">
        <f t="shared" si="1"/>
        <v>0.15225153512518153</v>
      </c>
    </row>
    <row r="104" spans="1:7" x14ac:dyDescent="0.2">
      <c r="A104" t="s">
        <v>1094</v>
      </c>
      <c r="B104" t="s">
        <v>1068</v>
      </c>
      <c r="C104" t="s">
        <v>1069</v>
      </c>
      <c r="D104">
        <v>0.85</v>
      </c>
      <c r="E104">
        <v>0.62</v>
      </c>
      <c r="F104">
        <v>1.1599999999999999</v>
      </c>
      <c r="G104" s="21">
        <f t="shared" si="1"/>
        <v>0.13583863141634747</v>
      </c>
    </row>
    <row r="105" spans="1:7" x14ac:dyDescent="0.2">
      <c r="A105" t="s">
        <v>1097</v>
      </c>
      <c r="B105" t="s">
        <v>1068</v>
      </c>
      <c r="C105" t="s">
        <v>1069</v>
      </c>
      <c r="D105">
        <v>1.36</v>
      </c>
      <c r="E105">
        <v>1</v>
      </c>
      <c r="F105">
        <v>1.85</v>
      </c>
      <c r="G105" s="21">
        <f t="shared" si="1"/>
        <v>0.21343175233742798</v>
      </c>
    </row>
    <row r="106" spans="1:7" x14ac:dyDescent="0.2">
      <c r="A106" t="s">
        <v>1099</v>
      </c>
      <c r="B106" t="s">
        <v>1067</v>
      </c>
      <c r="C106" t="s">
        <v>1069</v>
      </c>
      <c r="D106">
        <v>0.37</v>
      </c>
      <c r="E106">
        <v>0.31</v>
      </c>
      <c r="F106">
        <v>0.45</v>
      </c>
      <c r="G106" s="21">
        <f t="shared" si="1"/>
        <v>3.5175983560080143E-2</v>
      </c>
    </row>
    <row r="107" spans="1:7" x14ac:dyDescent="0.2">
      <c r="A107" t="s">
        <v>1100</v>
      </c>
      <c r="B107" t="s">
        <v>1067</v>
      </c>
      <c r="C107" t="s">
        <v>1069</v>
      </c>
      <c r="D107">
        <v>0.51</v>
      </c>
      <c r="E107">
        <v>0.34</v>
      </c>
      <c r="F107">
        <v>0.78</v>
      </c>
      <c r="G107" s="21">
        <f t="shared" si="1"/>
        <v>0.10803000868812485</v>
      </c>
    </row>
    <row r="108" spans="1:7" x14ac:dyDescent="0.2">
      <c r="A108" t="s">
        <v>1101</v>
      </c>
      <c r="B108" t="s">
        <v>1067</v>
      </c>
      <c r="C108" t="s">
        <v>1069</v>
      </c>
      <c r="D108">
        <v>0.73</v>
      </c>
      <c r="E108">
        <v>0.56999999999999995</v>
      </c>
      <c r="F108">
        <v>0.94</v>
      </c>
      <c r="G108" s="21">
        <f t="shared" si="1"/>
        <v>9.3157593249459492E-2</v>
      </c>
    </row>
    <row r="109" spans="1:7" x14ac:dyDescent="0.2">
      <c r="A109" t="s">
        <v>1102</v>
      </c>
      <c r="B109" t="s">
        <v>1067</v>
      </c>
      <c r="C109" t="s">
        <v>1069</v>
      </c>
      <c r="D109">
        <v>0.74</v>
      </c>
      <c r="E109">
        <v>0.61</v>
      </c>
      <c r="F109">
        <v>0.89</v>
      </c>
      <c r="G109" s="21">
        <f t="shared" si="1"/>
        <v>7.1312309722840098E-2</v>
      </c>
    </row>
    <row r="110" spans="1:7" x14ac:dyDescent="0.2">
      <c r="A110" t="s">
        <v>1103</v>
      </c>
      <c r="B110" t="s">
        <v>1067</v>
      </c>
      <c r="C110" t="s">
        <v>1069</v>
      </c>
      <c r="D110">
        <v>0.8</v>
      </c>
      <c r="E110">
        <v>0.63</v>
      </c>
      <c r="F110">
        <v>1.02</v>
      </c>
      <c r="G110" s="21">
        <f t="shared" si="1"/>
        <v>9.8334303447497634E-2</v>
      </c>
    </row>
    <row r="111" spans="1:7" x14ac:dyDescent="0.2">
      <c r="A111" t="s">
        <v>1104</v>
      </c>
      <c r="B111" t="s">
        <v>1067</v>
      </c>
      <c r="C111" t="s">
        <v>1069</v>
      </c>
      <c r="D111">
        <v>0.84</v>
      </c>
      <c r="E111">
        <v>0.73</v>
      </c>
      <c r="F111">
        <v>0.96</v>
      </c>
      <c r="G111" s="21">
        <f t="shared" si="1"/>
        <v>5.8690446497023943E-2</v>
      </c>
    </row>
    <row r="112" spans="1:7" x14ac:dyDescent="0.2">
      <c r="A112" t="s">
        <v>1105</v>
      </c>
      <c r="B112" t="s">
        <v>1067</v>
      </c>
      <c r="C112" t="s">
        <v>1069</v>
      </c>
      <c r="D112">
        <v>0.89</v>
      </c>
      <c r="E112">
        <v>0.74</v>
      </c>
      <c r="F112">
        <v>1.08</v>
      </c>
      <c r="G112" s="21">
        <f t="shared" si="1"/>
        <v>8.5836443670623597E-2</v>
      </c>
    </row>
    <row r="113" spans="1:7" x14ac:dyDescent="0.2">
      <c r="A113" t="s">
        <v>1106</v>
      </c>
      <c r="B113" t="s">
        <v>1067</v>
      </c>
      <c r="C113" t="s">
        <v>1069</v>
      </c>
      <c r="D113">
        <v>0.94</v>
      </c>
      <c r="E113">
        <v>0.84</v>
      </c>
      <c r="F113">
        <v>1.05</v>
      </c>
      <c r="G113" s="21">
        <f t="shared" si="1"/>
        <v>5.3508912815142154E-2</v>
      </c>
    </row>
    <row r="114" spans="1:7" x14ac:dyDescent="0.2">
      <c r="A114" t="s">
        <v>1107</v>
      </c>
      <c r="B114" t="s">
        <v>1067</v>
      </c>
      <c r="C114" t="s">
        <v>1069</v>
      </c>
      <c r="D114">
        <v>0.97</v>
      </c>
      <c r="E114">
        <v>0.69</v>
      </c>
      <c r="F114">
        <v>1.37</v>
      </c>
      <c r="G114" s="21">
        <f t="shared" si="1"/>
        <v>0.16971892566171928</v>
      </c>
    </row>
    <row r="115" spans="1:7" x14ac:dyDescent="0.2">
      <c r="A115" t="s">
        <v>1108</v>
      </c>
      <c r="B115" t="s">
        <v>1067</v>
      </c>
      <c r="C115" t="s">
        <v>1069</v>
      </c>
      <c r="D115">
        <v>1.02</v>
      </c>
      <c r="E115">
        <v>0.77</v>
      </c>
      <c r="F115">
        <v>1.36</v>
      </c>
      <c r="G115" s="21">
        <f t="shared" si="1"/>
        <v>0.1480169523367387</v>
      </c>
    </row>
    <row r="116" spans="1:7" x14ac:dyDescent="0.2">
      <c r="A116" t="s">
        <v>1109</v>
      </c>
      <c r="B116" t="s">
        <v>1067</v>
      </c>
      <c r="C116" t="s">
        <v>1069</v>
      </c>
      <c r="D116">
        <v>1.06</v>
      </c>
      <c r="E116">
        <v>0.62</v>
      </c>
      <c r="F116">
        <v>1.82</v>
      </c>
      <c r="G116" s="21">
        <f t="shared" si="1"/>
        <v>0.29119506126367506</v>
      </c>
    </row>
    <row r="117" spans="1:7" x14ac:dyDescent="0.2">
      <c r="A117" t="s">
        <v>1110</v>
      </c>
      <c r="B117" t="s">
        <v>1067</v>
      </c>
      <c r="C117" t="s">
        <v>1069</v>
      </c>
      <c r="D117">
        <v>1.1200000000000001</v>
      </c>
      <c r="E117">
        <v>0.94</v>
      </c>
      <c r="F117">
        <v>1.35</v>
      </c>
      <c r="G117" s="21">
        <f t="shared" si="1"/>
        <v>0.10342285604812164</v>
      </c>
    </row>
    <row r="118" spans="1:7" x14ac:dyDescent="0.2">
      <c r="A118" t="s">
        <v>1130</v>
      </c>
      <c r="B118" t="s">
        <v>1067</v>
      </c>
      <c r="C118" t="s">
        <v>1069</v>
      </c>
      <c r="D118">
        <v>1.44</v>
      </c>
      <c r="E118">
        <v>1.1399999999999999</v>
      </c>
      <c r="F118">
        <v>1.83</v>
      </c>
      <c r="G118" s="21">
        <f t="shared" si="1"/>
        <v>0.17386078938866653</v>
      </c>
    </row>
    <row r="119" spans="1:7" x14ac:dyDescent="0.2">
      <c r="A119" t="s">
        <v>1099</v>
      </c>
      <c r="B119" t="s">
        <v>1068</v>
      </c>
      <c r="C119" t="s">
        <v>1069</v>
      </c>
      <c r="D119">
        <v>0.41</v>
      </c>
      <c r="E119">
        <v>0.32</v>
      </c>
      <c r="F119">
        <v>0.53</v>
      </c>
      <c r="G119" s="21">
        <f t="shared" si="1"/>
        <v>5.277243990012298E-2</v>
      </c>
    </row>
    <row r="120" spans="1:7" x14ac:dyDescent="0.2">
      <c r="A120" t="s">
        <v>1109</v>
      </c>
      <c r="B120" t="s">
        <v>1068</v>
      </c>
      <c r="C120" t="s">
        <v>1069</v>
      </c>
      <c r="D120">
        <v>0.48</v>
      </c>
      <c r="E120">
        <v>0.32</v>
      </c>
      <c r="F120">
        <v>0.53</v>
      </c>
      <c r="G120" s="21">
        <f t="shared" si="1"/>
        <v>6.1782368663558608E-2</v>
      </c>
    </row>
    <row r="121" spans="1:7" x14ac:dyDescent="0.2">
      <c r="A121" t="s">
        <v>1102</v>
      </c>
      <c r="B121" t="s">
        <v>1068</v>
      </c>
      <c r="C121" t="s">
        <v>1069</v>
      </c>
      <c r="D121">
        <v>0.49</v>
      </c>
      <c r="E121">
        <v>0.38</v>
      </c>
      <c r="F121">
        <v>0.63</v>
      </c>
      <c r="G121" s="21">
        <f t="shared" si="1"/>
        <v>6.3193570833143364E-2</v>
      </c>
    </row>
    <row r="122" spans="1:7" x14ac:dyDescent="0.2">
      <c r="A122" t="s">
        <v>1104</v>
      </c>
      <c r="B122" t="s">
        <v>1068</v>
      </c>
      <c r="C122" t="s">
        <v>1069</v>
      </c>
      <c r="D122">
        <v>0.56000000000000005</v>
      </c>
      <c r="E122">
        <v>0.46</v>
      </c>
      <c r="F122">
        <v>0.68</v>
      </c>
      <c r="G122" s="21">
        <f t="shared" si="1"/>
        <v>5.5838044098144531E-2</v>
      </c>
    </row>
    <row r="123" spans="1:7" x14ac:dyDescent="0.2">
      <c r="A123" t="s">
        <v>1105</v>
      </c>
      <c r="B123" t="s">
        <v>1068</v>
      </c>
      <c r="C123" t="s">
        <v>1069</v>
      </c>
      <c r="D123">
        <v>0.73</v>
      </c>
      <c r="E123">
        <v>0.56000000000000005</v>
      </c>
      <c r="F123">
        <v>0.94</v>
      </c>
      <c r="G123" s="21">
        <f t="shared" si="1"/>
        <v>9.6453687964398932E-2</v>
      </c>
    </row>
    <row r="124" spans="1:7" x14ac:dyDescent="0.2">
      <c r="A124" t="s">
        <v>1100</v>
      </c>
      <c r="B124" t="s">
        <v>1068</v>
      </c>
      <c r="C124" t="s">
        <v>1069</v>
      </c>
      <c r="D124">
        <v>0.73</v>
      </c>
      <c r="E124">
        <v>0.5</v>
      </c>
      <c r="F124">
        <v>1.08</v>
      </c>
      <c r="G124" s="21">
        <f t="shared" si="1"/>
        <v>0.14341301067299334</v>
      </c>
    </row>
    <row r="125" spans="1:7" x14ac:dyDescent="0.2">
      <c r="A125" t="s">
        <v>1107</v>
      </c>
      <c r="B125" t="s">
        <v>1068</v>
      </c>
      <c r="C125" t="s">
        <v>1069</v>
      </c>
      <c r="D125">
        <v>0.74</v>
      </c>
      <c r="E125">
        <v>0.5</v>
      </c>
      <c r="F125">
        <v>1.08</v>
      </c>
      <c r="G125" s="21">
        <f t="shared" si="1"/>
        <v>0.14537757246303434</v>
      </c>
    </row>
    <row r="126" spans="1:7" x14ac:dyDescent="0.2">
      <c r="A126" t="s">
        <v>1101</v>
      </c>
      <c r="B126" t="s">
        <v>1068</v>
      </c>
      <c r="C126" t="s">
        <v>1069</v>
      </c>
      <c r="D126">
        <v>0.73</v>
      </c>
      <c r="E126">
        <v>0.56000000000000005</v>
      </c>
      <c r="F126">
        <v>0.94</v>
      </c>
      <c r="G126" s="21">
        <f t="shared" si="1"/>
        <v>9.6453687964398932E-2</v>
      </c>
    </row>
    <row r="127" spans="1:7" x14ac:dyDescent="0.2">
      <c r="A127" t="s">
        <v>1110</v>
      </c>
      <c r="B127" t="s">
        <v>1068</v>
      </c>
      <c r="C127" t="s">
        <v>1069</v>
      </c>
      <c r="D127">
        <v>0.77</v>
      </c>
      <c r="E127">
        <v>0.61</v>
      </c>
      <c r="F127">
        <v>0.97</v>
      </c>
      <c r="G127" s="21">
        <f t="shared" si="1"/>
        <v>9.1110861743406907E-2</v>
      </c>
    </row>
    <row r="128" spans="1:7" x14ac:dyDescent="0.2">
      <c r="A128" t="s">
        <v>1106</v>
      </c>
      <c r="B128" t="s">
        <v>1068</v>
      </c>
      <c r="C128" t="s">
        <v>1069</v>
      </c>
      <c r="D128">
        <v>0.79</v>
      </c>
      <c r="E128">
        <v>0.68</v>
      </c>
      <c r="F128">
        <v>0.92</v>
      </c>
      <c r="G128" s="21">
        <f t="shared" si="1"/>
        <v>6.0918849178473872E-2</v>
      </c>
    </row>
    <row r="129" spans="1:7" x14ac:dyDescent="0.2">
      <c r="A129" t="s">
        <v>1103</v>
      </c>
      <c r="B129" t="s">
        <v>1068</v>
      </c>
      <c r="C129" t="s">
        <v>1069</v>
      </c>
      <c r="D129">
        <v>0.79</v>
      </c>
      <c r="E129">
        <v>0.54</v>
      </c>
      <c r="F129">
        <v>1.1599999999999999</v>
      </c>
      <c r="G129" s="21">
        <f t="shared" si="1"/>
        <v>0.15409154443577841</v>
      </c>
    </row>
    <row r="130" spans="1:7" x14ac:dyDescent="0.2">
      <c r="A130" t="s">
        <v>1108</v>
      </c>
      <c r="B130" t="s">
        <v>1068</v>
      </c>
      <c r="C130" t="s">
        <v>1069</v>
      </c>
      <c r="D130">
        <v>0.91</v>
      </c>
      <c r="E130">
        <v>0.65</v>
      </c>
      <c r="F130">
        <v>1.27</v>
      </c>
      <c r="G130" s="21">
        <f t="shared" si="1"/>
        <v>0.15548924313068579</v>
      </c>
    </row>
    <row r="131" spans="1:7" x14ac:dyDescent="0.2">
      <c r="A131" t="s">
        <v>1111</v>
      </c>
      <c r="B131" t="s">
        <v>1068</v>
      </c>
      <c r="C131" t="s">
        <v>1069</v>
      </c>
      <c r="D131">
        <v>1.49</v>
      </c>
      <c r="E131">
        <v>1.06</v>
      </c>
      <c r="F131">
        <v>2.09</v>
      </c>
      <c r="G131" s="21">
        <f t="shared" ref="G131:G175" si="2">D131 * (LN(F131)-LN(E131))/(2*1.96)</f>
        <v>0.2580494350001501</v>
      </c>
    </row>
    <row r="132" spans="1:7" x14ac:dyDescent="0.2">
      <c r="A132" t="s">
        <v>1112</v>
      </c>
      <c r="B132" t="s">
        <v>1067</v>
      </c>
      <c r="C132" t="s">
        <v>1069</v>
      </c>
      <c r="D132">
        <v>0.45</v>
      </c>
      <c r="E132">
        <v>0.3</v>
      </c>
      <c r="F132">
        <v>0.67</v>
      </c>
      <c r="G132" s="21">
        <f t="shared" si="2"/>
        <v>9.2237973718868604E-2</v>
      </c>
    </row>
    <row r="133" spans="1:7" x14ac:dyDescent="0.2">
      <c r="A133" t="s">
        <v>1113</v>
      </c>
      <c r="B133" t="s">
        <v>1067</v>
      </c>
      <c r="C133" t="s">
        <v>1069</v>
      </c>
      <c r="D133">
        <v>0.84</v>
      </c>
      <c r="E133">
        <v>0.87</v>
      </c>
      <c r="F133">
        <v>1.87</v>
      </c>
      <c r="G133" s="21">
        <f t="shared" si="2"/>
        <v>0.16397153532857206</v>
      </c>
    </row>
    <row r="134" spans="1:7" x14ac:dyDescent="0.2">
      <c r="A134" t="s">
        <v>1114</v>
      </c>
      <c r="B134" t="s">
        <v>1067</v>
      </c>
      <c r="C134" t="s">
        <v>1069</v>
      </c>
      <c r="D134">
        <v>0.86</v>
      </c>
      <c r="E134">
        <v>0.6</v>
      </c>
      <c r="F134">
        <v>1.24</v>
      </c>
      <c r="G134" s="21">
        <f t="shared" si="2"/>
        <v>0.15926168951768499</v>
      </c>
    </row>
    <row r="135" spans="1:7" x14ac:dyDescent="0.2">
      <c r="A135" t="s">
        <v>1115</v>
      </c>
      <c r="B135" t="s">
        <v>1067</v>
      </c>
      <c r="C135" t="s">
        <v>1069</v>
      </c>
      <c r="D135">
        <v>0.87</v>
      </c>
      <c r="E135">
        <v>0.44</v>
      </c>
      <c r="F135">
        <v>1.72</v>
      </c>
      <c r="G135" s="21">
        <f t="shared" si="2"/>
        <v>0.30257020747929009</v>
      </c>
    </row>
    <row r="136" spans="1:7" x14ac:dyDescent="0.2">
      <c r="A136" t="s">
        <v>1116</v>
      </c>
      <c r="B136" t="s">
        <v>1067</v>
      </c>
      <c r="C136" t="s">
        <v>1069</v>
      </c>
      <c r="D136">
        <v>0.95</v>
      </c>
      <c r="E136">
        <v>0.59</v>
      </c>
      <c r="F136">
        <v>1.54</v>
      </c>
      <c r="G136" s="21">
        <f t="shared" si="2"/>
        <v>0.23251132667921284</v>
      </c>
    </row>
    <row r="137" spans="1:7" x14ac:dyDescent="0.2">
      <c r="A137" t="s">
        <v>1117</v>
      </c>
      <c r="B137" t="s">
        <v>1067</v>
      </c>
      <c r="C137" t="s">
        <v>1069</v>
      </c>
      <c r="D137">
        <v>0.96</v>
      </c>
      <c r="E137">
        <v>0.45</v>
      </c>
      <c r="F137">
        <v>2.04</v>
      </c>
      <c r="G137" s="21">
        <f t="shared" si="2"/>
        <v>0.3701528581405461</v>
      </c>
    </row>
    <row r="138" spans="1:7" x14ac:dyDescent="0.2">
      <c r="A138" t="s">
        <v>1118</v>
      </c>
      <c r="B138" t="s">
        <v>1067</v>
      </c>
      <c r="C138" t="s">
        <v>1069</v>
      </c>
      <c r="D138">
        <v>1.01</v>
      </c>
      <c r="E138">
        <v>0.66</v>
      </c>
      <c r="F138">
        <v>1.54</v>
      </c>
      <c r="G138" s="21">
        <f t="shared" si="2"/>
        <v>0.2183088874977234</v>
      </c>
    </row>
    <row r="139" spans="1:7" x14ac:dyDescent="0.2">
      <c r="A139" t="s">
        <v>1119</v>
      </c>
      <c r="B139" t="s">
        <v>1067</v>
      </c>
      <c r="C139" t="s">
        <v>1069</v>
      </c>
      <c r="D139">
        <v>1.1000000000000001</v>
      </c>
      <c r="E139">
        <v>0.88</v>
      </c>
      <c r="F139">
        <v>1.38</v>
      </c>
      <c r="G139" s="21">
        <f t="shared" si="2"/>
        <v>0.12625218309869846</v>
      </c>
    </row>
    <row r="140" spans="1:7" x14ac:dyDescent="0.2">
      <c r="A140" t="s">
        <v>1124</v>
      </c>
      <c r="B140" t="s">
        <v>1067</v>
      </c>
      <c r="C140" t="s">
        <v>1069</v>
      </c>
      <c r="D140">
        <v>1.27</v>
      </c>
      <c r="E140">
        <v>0.51</v>
      </c>
      <c r="F140">
        <v>3.18</v>
      </c>
      <c r="G140" s="21">
        <f t="shared" si="2"/>
        <v>0.59295579147217636</v>
      </c>
    </row>
    <row r="141" spans="1:7" x14ac:dyDescent="0.2">
      <c r="A141" t="s">
        <v>1121</v>
      </c>
      <c r="B141" t="s">
        <v>1067</v>
      </c>
      <c r="C141" t="s">
        <v>1069</v>
      </c>
      <c r="D141">
        <v>1.38</v>
      </c>
      <c r="E141">
        <v>0.59</v>
      </c>
      <c r="F141">
        <v>3.21</v>
      </c>
      <c r="G141" s="21">
        <f t="shared" si="2"/>
        <v>0.59632323401263498</v>
      </c>
    </row>
    <row r="142" spans="1:7" x14ac:dyDescent="0.2">
      <c r="A142" t="s">
        <v>1122</v>
      </c>
      <c r="B142" t="s">
        <v>1067</v>
      </c>
      <c r="C142" t="s">
        <v>1069</v>
      </c>
      <c r="D142">
        <v>1.46</v>
      </c>
      <c r="E142">
        <v>0.86</v>
      </c>
      <c r="F142">
        <v>2.48</v>
      </c>
      <c r="G142" s="21">
        <f t="shared" si="2"/>
        <v>0.39445380532417157</v>
      </c>
    </row>
    <row r="143" spans="1:7" x14ac:dyDescent="0.2">
      <c r="A143" t="s">
        <v>1123</v>
      </c>
      <c r="B143" t="s">
        <v>1067</v>
      </c>
      <c r="C143" t="s">
        <v>1069</v>
      </c>
      <c r="D143">
        <v>1.8</v>
      </c>
      <c r="E143">
        <v>0.99</v>
      </c>
      <c r="F143">
        <v>3.26</v>
      </c>
      <c r="G143" s="21">
        <f t="shared" si="2"/>
        <v>0.54724478474944172</v>
      </c>
    </row>
    <row r="144" spans="1:7" x14ac:dyDescent="0.2">
      <c r="A144" t="s">
        <v>1112</v>
      </c>
      <c r="B144" t="s">
        <v>1068</v>
      </c>
      <c r="C144" t="s">
        <v>1069</v>
      </c>
      <c r="D144">
        <v>0.33</v>
      </c>
      <c r="E144">
        <v>0.14000000000000001</v>
      </c>
      <c r="F144">
        <v>0.8</v>
      </c>
      <c r="G144" s="21">
        <f t="shared" si="2"/>
        <v>0.14672955884422081</v>
      </c>
    </row>
    <row r="145" spans="1:7" x14ac:dyDescent="0.2">
      <c r="A145" t="s">
        <v>1113</v>
      </c>
      <c r="B145" t="s">
        <v>1068</v>
      </c>
      <c r="C145" t="s">
        <v>1069</v>
      </c>
      <c r="D145">
        <v>0.55000000000000004</v>
      </c>
      <c r="E145">
        <v>0.2</v>
      </c>
      <c r="F145">
        <v>1.53</v>
      </c>
      <c r="G145" s="21">
        <f t="shared" si="2"/>
        <v>0.28548165977325118</v>
      </c>
    </row>
    <row r="146" spans="1:7" x14ac:dyDescent="0.2">
      <c r="A146" t="s">
        <v>1118</v>
      </c>
      <c r="B146" t="s">
        <v>1068</v>
      </c>
      <c r="C146" t="s">
        <v>1069</v>
      </c>
      <c r="D146">
        <v>0.56000000000000005</v>
      </c>
      <c r="E146">
        <v>0.28000000000000003</v>
      </c>
      <c r="F146">
        <v>1.1399999999999999</v>
      </c>
      <c r="G146" s="21">
        <f t="shared" si="2"/>
        <v>0.20057056260275594</v>
      </c>
    </row>
    <row r="147" spans="1:7" x14ac:dyDescent="0.2">
      <c r="A147" t="s">
        <v>1116</v>
      </c>
      <c r="B147" t="s">
        <v>1068</v>
      </c>
      <c r="C147" t="s">
        <v>1069</v>
      </c>
      <c r="D147">
        <v>0.59</v>
      </c>
      <c r="E147">
        <v>0.33</v>
      </c>
      <c r="F147">
        <v>1.06</v>
      </c>
      <c r="G147" s="21">
        <f t="shared" si="2"/>
        <v>0.17563510312777966</v>
      </c>
    </row>
    <row r="148" spans="1:7" x14ac:dyDescent="0.2">
      <c r="A148" t="s">
        <v>1114</v>
      </c>
      <c r="B148" t="s">
        <v>1068</v>
      </c>
      <c r="C148" t="s">
        <v>1069</v>
      </c>
      <c r="D148">
        <v>0.61</v>
      </c>
      <c r="E148">
        <v>0.37</v>
      </c>
      <c r="F148">
        <v>1</v>
      </c>
      <c r="G148" s="21">
        <f t="shared" si="2"/>
        <v>0.15471782824993846</v>
      </c>
    </row>
    <row r="149" spans="1:7" x14ac:dyDescent="0.2">
      <c r="A149" t="s">
        <v>1117</v>
      </c>
      <c r="B149" t="s">
        <v>1068</v>
      </c>
      <c r="C149" t="s">
        <v>1069</v>
      </c>
      <c r="D149">
        <v>0.67</v>
      </c>
      <c r="E149">
        <v>0.31</v>
      </c>
      <c r="F149">
        <v>1.49</v>
      </c>
      <c r="G149" s="21">
        <f t="shared" si="2"/>
        <v>0.26833484642306371</v>
      </c>
    </row>
    <row r="150" spans="1:7" x14ac:dyDescent="0.2">
      <c r="A150" t="s">
        <v>1115</v>
      </c>
      <c r="B150" t="s">
        <v>1068</v>
      </c>
      <c r="C150" t="s">
        <v>1069</v>
      </c>
      <c r="D150">
        <v>0.7</v>
      </c>
      <c r="E150">
        <v>0.41</v>
      </c>
      <c r="F150">
        <v>1.18</v>
      </c>
      <c r="G150" s="21">
        <f t="shared" si="2"/>
        <v>0.1887700996002423</v>
      </c>
    </row>
    <row r="151" spans="1:7" x14ac:dyDescent="0.2">
      <c r="A151" t="s">
        <v>1119</v>
      </c>
      <c r="B151" t="s">
        <v>1068</v>
      </c>
      <c r="C151" t="s">
        <v>1069</v>
      </c>
      <c r="D151">
        <v>1.8</v>
      </c>
      <c r="E151">
        <v>0.59</v>
      </c>
      <c r="F151">
        <v>1.0900000000000001</v>
      </c>
      <c r="G151" s="21">
        <f t="shared" si="2"/>
        <v>0.28185173188320511</v>
      </c>
    </row>
    <row r="152" spans="1:7" x14ac:dyDescent="0.2">
      <c r="A152" t="s">
        <v>1122</v>
      </c>
      <c r="B152" t="s">
        <v>1068</v>
      </c>
      <c r="C152" t="s">
        <v>1069</v>
      </c>
      <c r="D152">
        <v>0.87</v>
      </c>
      <c r="E152">
        <v>0.38</v>
      </c>
      <c r="F152">
        <v>1.99</v>
      </c>
      <c r="G152" s="21">
        <f t="shared" si="2"/>
        <v>0.36746817309906959</v>
      </c>
    </row>
    <row r="153" spans="1:7" x14ac:dyDescent="0.2">
      <c r="A153" t="s">
        <v>1121</v>
      </c>
      <c r="B153" t="s">
        <v>1068</v>
      </c>
      <c r="C153" t="s">
        <v>1069</v>
      </c>
      <c r="D153">
        <v>1.05</v>
      </c>
      <c r="E153">
        <v>0.61</v>
      </c>
      <c r="F153">
        <v>1.81</v>
      </c>
      <c r="G153" s="21">
        <f t="shared" si="2"/>
        <v>0.29132763404263784</v>
      </c>
    </row>
    <row r="154" spans="1:7" x14ac:dyDescent="0.2">
      <c r="A154" t="s">
        <v>1120</v>
      </c>
      <c r="B154" t="s">
        <v>1068</v>
      </c>
      <c r="C154" t="s">
        <v>1069</v>
      </c>
      <c r="D154">
        <v>1.06</v>
      </c>
      <c r="E154">
        <v>0.53</v>
      </c>
      <c r="F154">
        <v>2.13</v>
      </c>
      <c r="G154" s="21">
        <f t="shared" si="2"/>
        <v>0.376137823287434</v>
      </c>
    </row>
    <row r="155" spans="1:7" x14ac:dyDescent="0.2">
      <c r="A155" t="s">
        <v>1123</v>
      </c>
      <c r="B155" t="s">
        <v>1068</v>
      </c>
      <c r="C155" t="s">
        <v>1069</v>
      </c>
      <c r="D155">
        <v>1.1599999999999999</v>
      </c>
      <c r="E155">
        <v>0.56000000000000005</v>
      </c>
      <c r="F155">
        <v>2.4300000000000002</v>
      </c>
      <c r="G155" s="21">
        <f t="shared" si="2"/>
        <v>0.43432227373016907</v>
      </c>
    </row>
    <row r="156" spans="1:7" x14ac:dyDescent="0.2">
      <c r="A156" t="s">
        <v>1125</v>
      </c>
      <c r="B156" t="s">
        <v>1067</v>
      </c>
      <c r="C156" t="s">
        <v>1069</v>
      </c>
      <c r="D156">
        <v>1.0900000000000001</v>
      </c>
      <c r="E156">
        <v>0.7</v>
      </c>
      <c r="F156">
        <v>1.7</v>
      </c>
      <c r="G156" s="21">
        <f t="shared" si="2"/>
        <v>0.24672461289565922</v>
      </c>
    </row>
    <row r="157" spans="1:7" x14ac:dyDescent="0.2">
      <c r="A157" t="s">
        <v>1126</v>
      </c>
      <c r="B157" t="s">
        <v>1067</v>
      </c>
      <c r="C157" t="s">
        <v>1069</v>
      </c>
      <c r="D157">
        <v>1.1100000000000001</v>
      </c>
      <c r="E157">
        <v>0.92</v>
      </c>
      <c r="F157">
        <v>1.34</v>
      </c>
      <c r="G157" s="21">
        <f t="shared" si="2"/>
        <v>0.1064838921992543</v>
      </c>
    </row>
    <row r="158" spans="1:7" x14ac:dyDescent="0.2">
      <c r="A158" t="s">
        <v>1127</v>
      </c>
      <c r="B158" t="s">
        <v>1067</v>
      </c>
      <c r="C158" t="s">
        <v>1069</v>
      </c>
      <c r="D158">
        <v>1.27</v>
      </c>
      <c r="E158">
        <v>0.97</v>
      </c>
      <c r="F158">
        <v>1.65</v>
      </c>
      <c r="G158" s="21">
        <f t="shared" si="2"/>
        <v>0.17210913498837785</v>
      </c>
    </row>
    <row r="159" spans="1:7" x14ac:dyDescent="0.2">
      <c r="A159" t="s">
        <v>1128</v>
      </c>
      <c r="B159" t="s">
        <v>1067</v>
      </c>
      <c r="C159" t="s">
        <v>1069</v>
      </c>
      <c r="D159">
        <v>1.3</v>
      </c>
      <c r="E159">
        <v>1.07</v>
      </c>
      <c r="F159">
        <v>1.58</v>
      </c>
      <c r="G159" s="21">
        <f t="shared" si="2"/>
        <v>0.12925919850371909</v>
      </c>
    </row>
    <row r="160" spans="1:7" x14ac:dyDescent="0.2">
      <c r="A160" t="s">
        <v>1129</v>
      </c>
      <c r="B160" t="s">
        <v>1067</v>
      </c>
      <c r="C160" t="s">
        <v>1069</v>
      </c>
      <c r="D160">
        <v>1.62</v>
      </c>
      <c r="E160">
        <v>1.07</v>
      </c>
      <c r="F160">
        <v>2.46</v>
      </c>
      <c r="G160" s="21">
        <f t="shared" si="2"/>
        <v>0.34404448377095403</v>
      </c>
    </row>
    <row r="161" spans="1:7" x14ac:dyDescent="0.2">
      <c r="A161" t="s">
        <v>1126</v>
      </c>
      <c r="B161" t="s">
        <v>1068</v>
      </c>
      <c r="C161" t="s">
        <v>1069</v>
      </c>
      <c r="D161">
        <v>1.04</v>
      </c>
      <c r="E161">
        <v>0.8</v>
      </c>
      <c r="F161">
        <v>1.36</v>
      </c>
      <c r="G161" s="21">
        <f t="shared" si="2"/>
        <v>0.14077892375118808</v>
      </c>
    </row>
    <row r="162" spans="1:7" x14ac:dyDescent="0.2">
      <c r="A162" t="s">
        <v>1127</v>
      </c>
      <c r="B162" t="s">
        <v>1068</v>
      </c>
      <c r="C162" t="s">
        <v>1069</v>
      </c>
      <c r="D162">
        <v>1.0900000000000001</v>
      </c>
      <c r="E162">
        <v>0.75</v>
      </c>
      <c r="F162">
        <v>1.6</v>
      </c>
      <c r="G162" s="21">
        <f t="shared" si="2"/>
        <v>0.21068301399242167</v>
      </c>
    </row>
    <row r="163" spans="1:7" x14ac:dyDescent="0.2">
      <c r="A163" t="s">
        <v>1125</v>
      </c>
      <c r="B163" t="s">
        <v>1068</v>
      </c>
      <c r="C163" t="s">
        <v>1069</v>
      </c>
      <c r="D163">
        <v>1.2</v>
      </c>
      <c r="E163">
        <v>0.6</v>
      </c>
      <c r="F163">
        <v>2.38</v>
      </c>
      <c r="G163" s="21">
        <f t="shared" si="2"/>
        <v>0.42181411574980837</v>
      </c>
    </row>
    <row r="164" spans="1:7" x14ac:dyDescent="0.2">
      <c r="A164" t="s">
        <v>1128</v>
      </c>
      <c r="B164" t="s">
        <v>1068</v>
      </c>
      <c r="C164" t="s">
        <v>1069</v>
      </c>
      <c r="D164">
        <v>1.29</v>
      </c>
      <c r="E164">
        <v>0.94</v>
      </c>
      <c r="F164">
        <v>1.79</v>
      </c>
      <c r="G164" s="21">
        <f t="shared" si="2"/>
        <v>0.21195852561384415</v>
      </c>
    </row>
    <row r="165" spans="1:7" x14ac:dyDescent="0.2">
      <c r="A165" t="s">
        <v>1129</v>
      </c>
      <c r="B165" t="s">
        <v>1068</v>
      </c>
      <c r="C165" t="s">
        <v>1069</v>
      </c>
      <c r="D165">
        <v>1.33</v>
      </c>
      <c r="E165">
        <v>0.95</v>
      </c>
      <c r="F165">
        <v>1.79</v>
      </c>
      <c r="G165" s="21">
        <f t="shared" si="2"/>
        <v>0.21494052447435841</v>
      </c>
    </row>
    <row r="166" spans="1:7" x14ac:dyDescent="0.2">
      <c r="A166" t="s">
        <v>1131</v>
      </c>
      <c r="B166" t="s">
        <v>1067</v>
      </c>
      <c r="C166" t="s">
        <v>1069</v>
      </c>
      <c r="D166">
        <v>1.02</v>
      </c>
      <c r="E166">
        <v>0.63</v>
      </c>
      <c r="F166">
        <v>1.64</v>
      </c>
      <c r="G166" s="21">
        <f t="shared" si="2"/>
        <v>0.24894549374013242</v>
      </c>
    </row>
    <row r="167" spans="1:7" x14ac:dyDescent="0.2">
      <c r="A167" t="s">
        <v>1132</v>
      </c>
      <c r="B167" t="s">
        <v>1067</v>
      </c>
      <c r="C167" t="s">
        <v>1069</v>
      </c>
      <c r="D167">
        <v>1.06</v>
      </c>
      <c r="E167">
        <v>0.86</v>
      </c>
      <c r="F167">
        <v>1.31</v>
      </c>
      <c r="G167" s="21">
        <f t="shared" si="2"/>
        <v>0.11380128279706697</v>
      </c>
    </row>
    <row r="168" spans="1:7" x14ac:dyDescent="0.2">
      <c r="A168" t="s">
        <v>1133</v>
      </c>
      <c r="B168" t="s">
        <v>1067</v>
      </c>
      <c r="C168" t="s">
        <v>1069</v>
      </c>
      <c r="D168">
        <v>1.24</v>
      </c>
      <c r="E168">
        <v>0.93</v>
      </c>
      <c r="F168">
        <v>1.65</v>
      </c>
      <c r="G168" s="21">
        <f t="shared" si="2"/>
        <v>0.18136454493027615</v>
      </c>
    </row>
    <row r="169" spans="1:7" x14ac:dyDescent="0.2">
      <c r="A169" t="s">
        <v>1134</v>
      </c>
      <c r="B169" t="s">
        <v>1067</v>
      </c>
      <c r="C169" t="s">
        <v>1069</v>
      </c>
      <c r="D169">
        <v>1.26</v>
      </c>
      <c r="E169">
        <v>1.01</v>
      </c>
      <c r="F169">
        <v>1.56</v>
      </c>
      <c r="G169" s="21">
        <f t="shared" si="2"/>
        <v>0.1397364076312321</v>
      </c>
    </row>
    <row r="170" spans="1:7" x14ac:dyDescent="0.2">
      <c r="A170" t="s">
        <v>1135</v>
      </c>
      <c r="B170" t="s">
        <v>1067</v>
      </c>
      <c r="C170" t="s">
        <v>1069</v>
      </c>
      <c r="D170">
        <v>1.8</v>
      </c>
      <c r="E170">
        <v>1.1200000000000001</v>
      </c>
      <c r="F170">
        <v>2.9</v>
      </c>
      <c r="G170" s="21">
        <f t="shared" si="2"/>
        <v>0.43685910536575639</v>
      </c>
    </row>
    <row r="171" spans="1:7" x14ac:dyDescent="0.2">
      <c r="A171" t="s">
        <v>1132</v>
      </c>
      <c r="B171" t="s">
        <v>1068</v>
      </c>
      <c r="C171" t="s">
        <v>1069</v>
      </c>
      <c r="D171">
        <v>1.04</v>
      </c>
      <c r="E171">
        <v>0.74</v>
      </c>
      <c r="F171">
        <v>1.45</v>
      </c>
      <c r="G171" s="21">
        <f t="shared" si="2"/>
        <v>0.17846311101659715</v>
      </c>
    </row>
    <row r="172" spans="1:7" x14ac:dyDescent="0.2">
      <c r="A172" t="s">
        <v>1133</v>
      </c>
      <c r="B172" t="s">
        <v>1068</v>
      </c>
      <c r="C172" t="s">
        <v>1069</v>
      </c>
      <c r="D172">
        <v>1.1299999999999999</v>
      </c>
      <c r="E172">
        <v>0.74</v>
      </c>
      <c r="F172">
        <v>1.74</v>
      </c>
      <c r="G172" s="21">
        <f t="shared" si="2"/>
        <v>0.2464640134672719</v>
      </c>
    </row>
    <row r="173" spans="1:7" x14ac:dyDescent="0.2">
      <c r="A173" t="s">
        <v>1134</v>
      </c>
      <c r="B173" t="s">
        <v>1068</v>
      </c>
      <c r="C173" t="s">
        <v>1069</v>
      </c>
      <c r="D173">
        <v>1.17</v>
      </c>
      <c r="E173">
        <v>0.81</v>
      </c>
      <c r="F173">
        <v>1.7</v>
      </c>
      <c r="G173" s="21">
        <f t="shared" si="2"/>
        <v>0.22127006642399308</v>
      </c>
    </row>
    <row r="174" spans="1:7" x14ac:dyDescent="0.2">
      <c r="A174" t="s">
        <v>1131</v>
      </c>
      <c r="B174" t="s">
        <v>1068</v>
      </c>
      <c r="C174" t="s">
        <v>1069</v>
      </c>
      <c r="D174">
        <v>1.3</v>
      </c>
      <c r="E174">
        <v>0.6</v>
      </c>
      <c r="F174">
        <v>2.84</v>
      </c>
      <c r="G174" s="21">
        <f t="shared" si="2"/>
        <v>0.51556596395939724</v>
      </c>
    </row>
    <row r="175" spans="1:7" x14ac:dyDescent="0.2">
      <c r="A175" t="s">
        <v>1135</v>
      </c>
      <c r="B175" t="s">
        <v>1068</v>
      </c>
      <c r="C175" t="s">
        <v>1069</v>
      </c>
      <c r="D175">
        <v>1.58</v>
      </c>
      <c r="E175">
        <v>1.0900000000000001</v>
      </c>
      <c r="F175">
        <v>2.2999999999999998</v>
      </c>
      <c r="G175" s="21">
        <f t="shared" si="2"/>
        <v>0.30097848320831666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 papers</vt:lpstr>
      <vt:lpstr>Pan Z 2024</vt:lpstr>
      <vt:lpstr>Olfson M 2021</vt:lpstr>
      <vt:lpstr>Chan SKW 2018</vt:lpstr>
      <vt:lpstr>Buchanan A 2020</vt:lpstr>
      <vt:lpstr>Coentre R 2021</vt:lpstr>
      <vt:lpstr>Bakst S 2009</vt:lpstr>
      <vt:lpstr>Taipale H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25051</dc:creator>
  <cp:lastModifiedBy>Wang, Jiawei</cp:lastModifiedBy>
  <dcterms:created xsi:type="dcterms:W3CDTF">2015-06-05T18:19:34Z</dcterms:created>
  <dcterms:modified xsi:type="dcterms:W3CDTF">2025-11-16T23:46:29Z</dcterms:modified>
</cp:coreProperties>
</file>